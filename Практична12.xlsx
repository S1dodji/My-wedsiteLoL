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xr:revisionPtr revIDLastSave="0" documentId="8_{CCEA5102-F14B-1342-8DC3-F6EB01860ED1}" xr6:coauthVersionLast="47" xr6:coauthVersionMax="47" xr10:uidLastSave="{00000000-0000-0000-0000-000000000000}"/>
  <bookViews>
    <workbookView xWindow="0" yWindow="0" windowWidth="0" windowHeight="0" xr2:uid="{00000000-000D-0000-FFFF-FFFF00000000}"/>
  </bookViews>
  <sheets>
    <sheet name="Частина №1" sheetId="1" r:id="rId1"/>
    <sheet name="Частина №2" sheetId="2" r:id="rId2"/>
    <sheet name="Частина №3" sheetId="3" r:id="rId3"/>
    <sheet name="Частина 4" sheetId="4" r:id="rId4"/>
    <sheet name="Частина 5" sheetId="5" r:id="rId5"/>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6" i="1" l="1"/>
  <c r="B75" i="1"/>
  <c r="E68" i="1"/>
  <c r="E67" i="1"/>
  <c r="C57" i="1"/>
  <c r="C56" i="1"/>
  <c r="D43" i="1"/>
  <c r="D42" i="1"/>
  <c r="D41" i="1"/>
  <c r="D40" i="1"/>
  <c r="D39" i="1"/>
  <c r="D38" i="1"/>
  <c r="D21" i="1"/>
  <c r="D20" i="1"/>
  <c r="D19" i="1"/>
  <c r="D18" i="1"/>
  <c r="D17" i="1"/>
  <c r="C17" i="1"/>
  <c r="C18" i="1"/>
  <c r="C19" i="1"/>
  <c r="C20" i="1"/>
  <c r="C21" i="1"/>
  <c r="D16" i="1"/>
  <c r="G4" i="1"/>
  <c r="G5" i="1"/>
  <c r="G6" i="1"/>
  <c r="G7" i="1"/>
  <c r="G8" i="1"/>
  <c r="G3" i="1"/>
  <c r="F4" i="1"/>
  <c r="F5" i="1"/>
  <c r="F6" i="1"/>
  <c r="F7" i="1"/>
  <c r="F8" i="1"/>
  <c r="F3" i="1"/>
  <c r="E4" i="1"/>
  <c r="E5" i="1"/>
  <c r="E6" i="1"/>
  <c r="E7" i="1"/>
  <c r="E8" i="1"/>
  <c r="E3" i="1"/>
  <c r="D4" i="1"/>
  <c r="D5" i="1"/>
  <c r="D6" i="1"/>
  <c r="D7" i="1"/>
  <c r="D8" i="1"/>
  <c r="D3" i="1"/>
  <c r="B33" i="1"/>
  <c r="B32" i="1"/>
  <c r="B31" i="1"/>
  <c r="B30" i="1"/>
  <c r="B29" i="1"/>
  <c r="B28" i="1"/>
  <c r="C16" i="1"/>
</calcChain>
</file>

<file path=xl/sharedStrings.xml><?xml version="1.0" encoding="utf-8"?>
<sst xmlns="http://schemas.openxmlformats.org/spreadsheetml/2006/main" count="271" uniqueCount="182">
  <si>
    <t>Створення таблиці з текстовими даними</t>
  </si>
  <si>
    <t>Ім'я</t>
  </si>
  <si>
    <t>Прізвище</t>
  </si>
  <si>
    <t>По батькові</t>
  </si>
  <si>
    <t>З'єднати  ім'я та по батькові</t>
  </si>
  <si>
    <t>З'єднати  ім'я та прізвище</t>
  </si>
  <si>
    <t xml:space="preserve">З'єднати прізвище та ім'я </t>
  </si>
  <si>
    <t xml:space="preserve">З'єднати прізвище, ім'я та по батькові </t>
  </si>
  <si>
    <t>Інна</t>
  </si>
  <si>
    <t>Тріщук</t>
  </si>
  <si>
    <t>Володимирівна</t>
  </si>
  <si>
    <t>Олександр</t>
  </si>
  <si>
    <t>Лазарець</t>
  </si>
  <si>
    <t>Юрійович</t>
  </si>
  <si>
    <t>Марина</t>
  </si>
  <si>
    <t>Корпан</t>
  </si>
  <si>
    <t>Максимівна</t>
  </si>
  <si>
    <t>Оксана</t>
  </si>
  <si>
    <t>Трубілко</t>
  </si>
  <si>
    <t>Миколаївна</t>
  </si>
  <si>
    <t>Михайло</t>
  </si>
  <si>
    <t>Назарчук</t>
  </si>
  <si>
    <t>Сергіївна</t>
  </si>
  <si>
    <t>Ярослав</t>
  </si>
  <si>
    <t>Макарицький</t>
  </si>
  <si>
    <t>Заповнити дану таблицю використовуючи текстову функцію CONCATENATE</t>
  </si>
  <si>
    <t>Зміна регістру тексту</t>
  </si>
  <si>
    <t>Використайте функції UPPER та LOWER, щоб змінити регістр тексту. Перетворіть ім'я на великий регістр, а прізвище на малий.
Формула для імені: =UPPER(A2)
Формула для прізвища: =LOWER(B2)</t>
  </si>
  <si>
    <t>Підрахунок кількості символів</t>
  </si>
  <si>
    <t>кількість символів</t>
  </si>
  <si>
    <t>Використайте функцію LEN, щоб підрахувати кількість символів у прізвищі кожної людини.
Формула: =LEN(B2)</t>
  </si>
  <si>
    <t>Персоналізовані листи</t>
  </si>
  <si>
    <t>Email</t>
  </si>
  <si>
    <t>Персоналізоване повідомлення</t>
  </si>
  <si>
    <t>inna@example.com</t>
  </si>
  <si>
    <t>Навчитися об'єднувати текстові рядки для створення персоналізованих повідомлень або листів.</t>
  </si>
  <si>
    <t>oleksandr@example.com</t>
  </si>
  <si>
    <t>maryna@example.com</t>
  </si>
  <si>
    <t>oksana@example.com</t>
  </si>
  <si>
    <t>mykhaylo@example.com</t>
  </si>
  <si>
    <t>Yaroslav@example.com</t>
  </si>
  <si>
    <t>Персоналізовані запрошення на захід</t>
  </si>
  <si>
    <t>Захід</t>
  </si>
  <si>
    <t>Дата</t>
  </si>
  <si>
    <t>Місце</t>
  </si>
  <si>
    <t>Олена</t>
  </si>
  <si>
    <t>Іваненко</t>
  </si>
  <si>
    <t>День народження</t>
  </si>
  <si>
    <t>Кафе "Квітка"</t>
  </si>
  <si>
    <t xml:space="preserve">Доповнити таблицю! Навчитися використовувати текстові функції для створення індивідуальних запрошень на захід (наприклад, день народження, випускний, спортивне змагання). </t>
  </si>
  <si>
    <t>Максим</t>
  </si>
  <si>
    <t>Петров</t>
  </si>
  <si>
    <t>Спортивні змагання</t>
  </si>
  <si>
    <t>Спортзал школи №12</t>
  </si>
  <si>
    <t>Місце для персоналізованих запрошень</t>
  </si>
  <si>
    <t>Шановна Олена Іваненко, запрошуємо вас на День народження, який відбудеться 12.10.2024 у Кафе "Квітка".</t>
  </si>
  <si>
    <t>Автоматичне нагадування про завдання</t>
  </si>
  <si>
    <t>Завдання</t>
  </si>
  <si>
    <t>Дедлайн</t>
  </si>
  <si>
    <t>Доповнити таблицю</t>
  </si>
  <si>
    <t>Написати статтю</t>
  </si>
  <si>
    <t>olena@example.com</t>
  </si>
  <si>
    <t xml:space="preserve">Навчитися створювати автоматичні нагадування для учнів або колег про важливі завдання або дедлайни. </t>
  </si>
  <si>
    <t>Підготувати звіт</t>
  </si>
  <si>
    <t>maksym@example.com</t>
  </si>
  <si>
    <t>Шановна Олена, нагадуємо, що ваше завдання: Написати статтю повинно бути виконане до 15.10.2024.</t>
  </si>
  <si>
    <t>Таблиця успішності учнів</t>
  </si>
  <si>
    <t>Учень</t>
  </si>
  <si>
    <t>Математика</t>
  </si>
  <si>
    <t>Українська мова</t>
  </si>
  <si>
    <t>Англійська мова</t>
  </si>
  <si>
    <t>Середній результат</t>
  </si>
  <si>
    <t>Найвищий бал</t>
  </si>
  <si>
    <t>Найнижчий бал</t>
  </si>
  <si>
    <t>1) Заповнити таблицю                                           2) Визначте за допомогою функції середній бал, найвищий бал та найнижчий бал.                         3) Подубуйте діаграму на Ваш вибір</t>
  </si>
  <si>
    <t>Анастасія</t>
  </si>
  <si>
    <t>Фінансове планування сім'ї</t>
  </si>
  <si>
    <t>Частина 1: Доходи
Створіть таблицю з доходами сім'ї за місяць.</t>
  </si>
  <si>
    <t xml:space="preserve">Обчисліть загальний дохід кожного місяця.
Використайте функцію SUM, щоб підсумувати всі джерела доходів кожного місяця.
Обчисліть середній місячний дохід.
Використайте функцію AVERAGE для підрахунку середнього доходу за місяць.
Знайдіть максимальний дохід за місяць.
Використайте функцію MAX, щоб знайти місяць з найбільшим доходом.
</t>
  </si>
  <si>
    <t>Місяць</t>
  </si>
  <si>
    <t>Зарплата (грн)</t>
  </si>
  <si>
    <t>Фріланс (грн)</t>
  </si>
  <si>
    <t>Інші доходи (грн)</t>
  </si>
  <si>
    <t>Загальний дохід (грн)</t>
  </si>
  <si>
    <t>Січень</t>
  </si>
  <si>
    <t>25 000</t>
  </si>
  <si>
    <t>5 000</t>
  </si>
  <si>
    <t>2 000</t>
  </si>
  <si>
    <t>Лютий</t>
  </si>
  <si>
    <t>Березень</t>
  </si>
  <si>
    <t>Квітень</t>
  </si>
  <si>
    <t>Травень</t>
  </si>
  <si>
    <t>Частина 2: Витрати
Створіть таблицю з витратами сім'ї за місяць.</t>
  </si>
  <si>
    <t>Продукти (грн)</t>
  </si>
  <si>
    <t>Оренда (грн)</t>
  </si>
  <si>
    <t>Комунальні послуги (грн)</t>
  </si>
  <si>
    <t>Інші витрати (грн)</t>
  </si>
  <si>
    <t>Загальні витрати (грн)</t>
  </si>
  <si>
    <t xml:space="preserve">Обчисліть загальні витрати кожного місяця.
Використайте функцію SUM, щоб підсумувати всі витрати кожного місяця.
Обчисліть середні місячні витрати.
Використайте функцію AVERAGE для підрахунку середніх витрат за місяць.
Знайдіть максимальні витрати за місяць.
Використайте функцію MAX, щоб знайти місяць з найбільшими витратами.
</t>
  </si>
  <si>
    <t>7 000</t>
  </si>
  <si>
    <t>8 000</t>
  </si>
  <si>
    <t>3 000</t>
  </si>
  <si>
    <t>Частина 3: Заощадження за рік
Створіть таблицю для підрахунку заощаджень сім'ї.</t>
  </si>
  <si>
    <t xml:space="preserve">Обчисліть заощадження кожного місяця.
Заощадження = Загальний дохід - Загальні витрати.
Обчисліть накопичені заощадження.
Накопичені заощадження – це сума заощаджень за поточний і всі попередні місяці.
Для наступних місяців: =E2+D3 (для Лютий) і так далі.
Обчисліть загальну суму заощаджень за рік.
Використайте функцію SUM, щоб підрахувати загальну суму заощаджень за всі місяці.
Знайдіть середні місячні заощадження.
Використайте функцію AVERAGE для обчислення середніх заощаджень за місяць.
</t>
  </si>
  <si>
    <t>Заощадження (грн)</t>
  </si>
  <si>
    <t>Накопичені заощадження (грн)</t>
  </si>
  <si>
    <t>32 000</t>
  </si>
  <si>
    <t>20 000</t>
  </si>
  <si>
    <t>Оцінка успішності учнів з використанням логічних функцій</t>
  </si>
  <si>
    <t>Фізика</t>
  </si>
  <si>
    <t>Хімія</t>
  </si>
  <si>
    <t>Перевірка результатів за допомогою функції IF</t>
  </si>
  <si>
    <t>Перевірка успішності за всіма предметами за допомогою функції AND</t>
  </si>
  <si>
    <t>Перевірка успішності хоча б за одним предметом за допомогою функції OR</t>
  </si>
  <si>
    <t>Обробка помилок за допомогою функції IFERROR</t>
  </si>
  <si>
    <t>Заповніть таблицю з оцінками учнів.
Введіть дані про оцінки за три предмети для кожного учня.
Використайте функцію IF, щоб визначити, чи склав учень іспити (середня оцінка більше 60).
Використайте функцію AND, щоб перевірити, чи склав учень усі іспити.
Використайте функцію OR, щоб визначити, чи склав учень хоча б один іспит.
Використайте функцію IFERROR, щоб обробляти можливі помилки у розрахунках.</t>
  </si>
  <si>
    <t>Дмитро</t>
  </si>
  <si>
    <t>Перевірка результатів за допомогою функції IF:
Ви повинні перевірити, чи склав учень іспит. Якщо середня оцінка за три предмети більше 60, результат буде "Склав", якщо менше – "Не склав".
Формула для стовпця "Підсумок": =IF(AVERAGE(B2:D2)&gt;60; "Склав"; "Не склав").</t>
  </si>
  <si>
    <t>Використайте функцію AND, щоб перевірити, чи склав учень іспити з усіх предметів (усі оцінки більше 60). Якщо учень набрав більше 60 за кожен предмет, результат буде "Склав усі".
Формула: =IF(AND(B2&gt;60; C2&gt;60; D2&gt;60); "Склав усі"; "Не склав усі").</t>
  </si>
  <si>
    <t>Перевірка успішності хоча б за одним предметом за допомогою функції OR:
Використайте функцію OR, щоб перевірити, чи склав учень хоча б один іспит (хоча б одна оцінка більше 60).
Формула: =IF(OR(B3&gt;60; C3&gt;60; D4&gt;60); "Склав один"; "Не склав жоден")</t>
  </si>
  <si>
    <t>При обчисленні середнього результату може виникнути помилка, наприклад, якщо одна з оцінок є нульовою або якщо є ділення на нуль. Використайте функцію IFERROR, щоб замість помилки показати "Помилка у даних".
Формула: =IFERROR(AVERAGE(B3:D3); "Помилка у даних")</t>
  </si>
  <si>
    <t>Фінансовий аналіз підприємства</t>
  </si>
  <si>
    <t>Доходи (грн)</t>
  </si>
  <si>
    <t>Витрати (грн)</t>
  </si>
  <si>
    <t>Чистий прибуток (грн)</t>
  </si>
  <si>
    <t>Прибутковий місяць (так/ні)</t>
  </si>
  <si>
    <t>Збитковий місяць (так/ні)</t>
  </si>
  <si>
    <t>Обчисліть чистий прибуток за кожен місяць.
Чистий прибуток = Доходи - Витрати.
Формула: =B2-C2.</t>
  </si>
  <si>
    <t>Перевірте, чи є місяць прибутковим за допомогою функції IF:
Використайте функцію IF, щоб перевірити, чи є чистий прибуток більшим за 0. Якщо так, результат "Так", якщо ні – "Ні".
Формула: =IF(D2&gt;0; "Так" ; "Ні").</t>
  </si>
  <si>
    <t>Визначте, чи є місяць збитковим за допомогою функції IF:
Використайте функцію IF, щоб перевірити, чи є місяць збитковим (чистий прибуток менший за 0). Якщо так, результат "Так", якщо ні – "Ні".
Формула: =IF(D2&lt;0; "Так"; "Ні").</t>
  </si>
  <si>
    <t>Аналіз результатів спортивних змагань</t>
  </si>
  <si>
    <t>Спортсмен</t>
  </si>
  <si>
    <t>Результат (секунди)</t>
  </si>
  <si>
    <t>Обчисліть середній результат бігу спортсменів за допомогою функції AVERAGE</t>
  </si>
  <si>
    <t>Знайдіть медіану результатів за допомогою функції MEDIAN</t>
  </si>
  <si>
    <t>Визначте найбільш поширений результат за допомогою функції MODE</t>
  </si>
  <si>
    <t>Обчисліть стандартне відхилення результатів за допомогою функції STDEV.</t>
  </si>
  <si>
    <t>Знайдіть найкращий результат (мінімальне значення) за допомогою функції MIN.</t>
  </si>
  <si>
    <t>Знайдіть найгірший результат (максимальне значення) за допомогою функції MAX.</t>
  </si>
  <si>
    <t>Олексій</t>
  </si>
  <si>
    <t>Софія</t>
  </si>
  <si>
    <t>Іван</t>
  </si>
  <si>
    <t>13.0</t>
  </si>
  <si>
    <t>Наталія</t>
  </si>
  <si>
    <t>Зробіть кілька діаграм на Ваш вибір</t>
  </si>
  <si>
    <t>Аналіз опитування учнів щодо улюблених предметів</t>
  </si>
  <si>
    <t>Предмет</t>
  </si>
  <si>
    <t>Кількість голосів</t>
  </si>
  <si>
    <t>Обчисліть середню кількість голосів за допомогою функції AVERAGE.</t>
  </si>
  <si>
    <t>Знайдіть медіану кількості голосів за допомогою функції MEDIAN</t>
  </si>
  <si>
    <t>Визначте найпопулярніший предмет  за допомогою функції MODE.</t>
  </si>
  <si>
    <t>Порахуйте загальну кількість учнів, які взяли участь в опитуванні, за допомогою функції SUM.</t>
  </si>
  <si>
    <t>Знайдіть предмет з найбільшою кількістю голосів за допомогою функції MAX.</t>
  </si>
  <si>
    <t>Знайдіть предмет з найменшою кількістю голосів за допомогою функції MIN.</t>
  </si>
  <si>
    <t>Історія</t>
  </si>
  <si>
    <t>Біологія</t>
  </si>
  <si>
    <t>Література</t>
  </si>
  <si>
    <t xml:space="preserve">Література        </t>
  </si>
  <si>
    <t>Аналіз кредитних платежів</t>
  </si>
  <si>
    <t>Показник</t>
  </si>
  <si>
    <t>Значення</t>
  </si>
  <si>
    <t>Сума кредиту (грн)</t>
  </si>
  <si>
    <t>Процентна ставка (річна)</t>
  </si>
  <si>
    <t>Термін (місяці)</t>
  </si>
  <si>
    <t>Щомісячний платіж (грн)</t>
  </si>
  <si>
    <t>Обчисліть щомісячний платіж за допомогою функції PMT:
Використайте функцію PMT, щоб обчислити щомісячний платіж за кредитом.
Формула: =PMT(6%/12; 36; -10000).</t>
  </si>
  <si>
    <t>Функція PMT розраховує щомісячний платіж, який вам потрібно буде сплачувати протягом 36 місяців, щоб повністю погасити кредит у розмірі 10 000 грн під 6% річних.
Як працює формула:
6%/12 – це місячна процентна ставка (0,5% на місяць).
36 – це кількість місяців, протягом яких ви будете погашати кредит (3 роки).
-10 000 – це сума кредиту (взята в борг), де знак "-" показує, що це гроші, які потрібно повернути.</t>
  </si>
  <si>
    <t>Загальна сума виплат (грн)</t>
  </si>
  <si>
    <t>Обчисліть загальну суму виплат:
Загальна сума виплат = Щомісячний платіж × Кількість місяців.
Формула: =B6*36.</t>
  </si>
  <si>
    <t>Сума виплачених відсотків (грн)</t>
  </si>
  <si>
    <t>Обчисліть загальну суму виплачених відсотків за допомогою функції CUMIPMT:
Використайте функцію CUMIPMT, щоб визначити суму відсотків, виплачених за весь термін кредиту.
Формула: =CUMIPMT(6%/12; 36; 10000; 1; 36; 0).</t>
  </si>
  <si>
    <t>Функція CUMIPMT у цьому прикладі обчислює загальну суму відсотків, яку ви сплатите за 36 місяців (три роки) за кредитом у 10 000 грн, взятим під 6% річних.
Загальний вигляд:
6%/12 – місячна процентна ставка.
36 – кількість місяців.
10 000 – сума кредиту.
1 – перший місяць.
36 – останній місяць.
0 – платежі наприкінці періоду.
Ця функція дасть вам суму відсотків, яку ви заплатите банку за увесь період кредитування (36 місяців).</t>
  </si>
  <si>
    <t>Порахуйте теперішню вартість позики за допомогою функції PV</t>
  </si>
  <si>
    <t>Порахуйте теперішню вартість позики за допомогою функції PV:
Використайте функцію PV, щоб обчислити поточну вартість кредиту.
Формула: =PV(6%/12; 36; -B5)</t>
  </si>
  <si>
    <t>6%/12 – це місячна процентна ставка (якщо 6% – це річна ставка).
36 – це кількість місяців (термін кредиту).
-B6 – це щомісячний платіж, який ви сплачуєте за кредит (зазначений у клітинці B6). Оскільки це ваші витрати, сума введена з мінусом.</t>
  </si>
  <si>
    <t>Аналіз майбутньої вартості інвестиції</t>
  </si>
  <si>
    <t>Сума інвестиції (грн)</t>
  </si>
  <si>
    <t>Кількість років</t>
  </si>
  <si>
    <t>Майбутня вартість (грн)</t>
  </si>
  <si>
    <t xml:space="preserve">Обчисліть майбутню вартість інвестиції за допомогою функції FV.                            Використайте функцію FV, щоб обчислити майбутню вартість інвестиції через 5 років з регулярними внесками по 500 грн на місяць і річною процентною ставкою 5%.
Формула для обчислення майбутньої вартості через 5 років:
excel
=FV(5%/12, 12*5, -500, 0)
Ця формула обчислює, скільки грошей ви накопичите через 5 років, якщо щомісяця будете вкладати по 500 грн під 5% річних.
</t>
  </si>
  <si>
    <t>Майбутня вартість (через 10 років)</t>
  </si>
  <si>
    <t>Змініть кількість років на 10 і обчисліть нову майбутню вартість інвестиції:
Тепер ви повинні обчислити майбутню вартість, якщо ви будете інвестувати 10 років.
Формула для обчислення майбутньої вартості через 10 років:
excel
=FV(5%/12, 12*10, -500, 0)
Ця формула покаже, скільки грошей ви накопичите через 10 років за тих самих умов (щомісячний внесок 500 грн, річна процентна ставка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</si>
</sst>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dd\.mm\.yyyy"/>
    <numFmt numFmtId="166" formatCode="d\.m"/>
  </numFmts>
  <fonts count="8" x14ac:knownFonts="1">
    <font>
      <sz val="10"/>
      <color rgb="FF000000"/>
      <name val="Arial"/>
      <scheme val="minor"/>
    </font>
    <font>
      <b/>
      <sz val="13"/>
      <color theme="1"/>
      <name val="Arial"/>
    </font>
    <font>
      <b/>
      <sz val="10"/>
      <color theme="1"/>
      <name val="Arial"/>
    </font>
    <font>
      <sz val="10"/>
      <color theme="1"/>
      <name val="Arial"/>
    </font>
    <font>
      <sz val="10"/>
      <color theme="1"/>
      <name val="Arial"/>
      <scheme val="minor"/>
    </font>
    <font>
      <b/>
      <sz val="11"/>
      <color theme="1"/>
      <name val="Arial"/>
    </font>
    <font>
      <sz val="10"/>
      <name val="Arial"/>
    </font>
    <font>
      <b/>
      <sz val="16"/>
      <color theme="1"/>
      <name val="Arial"/>
    </font>
  </fonts>
  <fills count="10">
    <fill>
      <patternFill patternType="none"/>
    </fill>
    <fill>
      <patternFill patternType="gray125"/>
    </fill>
    <fill>
      <patternFill patternType="solid">
        <fgColor rgb="FFFF9900"/>
        <bgColor rgb="FFFF9900"/>
      </patternFill>
    </fill>
    <fill>
      <patternFill patternType="solid">
        <fgColor rgb="FFD9EAD3"/>
        <bgColor rgb="FFD9EAD3"/>
      </patternFill>
    </fill>
    <fill>
      <patternFill patternType="solid">
        <fgColor rgb="FFFFF2CC"/>
        <bgColor rgb="FFFFF2CC"/>
      </patternFill>
    </fill>
    <fill>
      <patternFill patternType="solid">
        <fgColor rgb="FFD0E0E3"/>
        <bgColor rgb="FFD0E0E3"/>
      </patternFill>
    </fill>
    <fill>
      <patternFill patternType="solid">
        <fgColor rgb="FFFCE5CD"/>
        <bgColor rgb="FFFCE5CD"/>
      </patternFill>
    </fill>
    <fill>
      <patternFill patternType="solid">
        <fgColor rgb="FFF4CCCC"/>
        <bgColor rgb="FFF4CCCC"/>
      </patternFill>
    </fill>
    <fill>
      <patternFill patternType="solid">
        <fgColor rgb="FFEAD1DC"/>
        <bgColor rgb="FFEAD1DC"/>
      </patternFill>
    </fill>
    <fill>
      <patternFill patternType="solid">
        <fgColor rgb="FFCFE2F3"/>
        <bgColor rgb="FFCFE2F3"/>
      </patternFill>
    </fill>
  </fills>
  <borders count="9">
    <border>
      <left/>
      <right/>
      <top/>
      <bottom/>
      <diagonal/>
    </border>
    <border>
      <left style="thin">
        <color rgb="FFFF0000"/>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style="thin">
        <color rgb="FFFF0000"/>
      </right>
      <top/>
      <bottom style="thin">
        <color rgb="FFFF0000"/>
      </bottom>
      <diagonal/>
    </border>
    <border>
      <left/>
      <right/>
      <top style="thin">
        <color rgb="FFFF0000"/>
      </top>
      <bottom/>
      <diagonal/>
    </border>
    <border>
      <left/>
      <right/>
      <top/>
      <bottom style="thin">
        <color rgb="FFFF0000"/>
      </bottom>
      <diagonal/>
    </border>
  </borders>
  <cellStyleXfs count="1">
    <xf numFmtId="0" fontId="0" fillId="0" borderId="0"/>
  </cellStyleXfs>
  <cellXfs count="74">
    <xf numFmtId="0" fontId="0" fillId="0" borderId="0" xfId="0" applyFont="1" applyAlignment="1"/>
    <xf numFmtId="0" fontId="2" fillId="0" borderId="0" xfId="0" applyFont="1" applyAlignment="1">
      <alignment horizontal="center"/>
    </xf>
    <xf numFmtId="0" fontId="2" fillId="0" borderId="0" xfId="0" applyFont="1"/>
    <xf numFmtId="0" fontId="3" fillId="3" borderId="0" xfId="0" applyFont="1" applyFill="1"/>
    <xf numFmtId="0" fontId="3" fillId="0" borderId="0" xfId="0" applyFont="1" applyAlignment="1">
      <alignment horizontal="left"/>
    </xf>
    <xf numFmtId="0" fontId="3" fillId="0" borderId="0" xfId="0" applyFont="1"/>
    <xf numFmtId="0" fontId="3" fillId="4" borderId="0" xfId="0" applyFont="1" applyFill="1" applyAlignment="1">
      <alignment vertical="center"/>
    </xf>
    <xf numFmtId="0" fontId="3" fillId="4" borderId="0" xfId="0" applyFont="1" applyFill="1" applyAlignment="1">
      <alignment vertical="top" wrapText="1"/>
    </xf>
    <xf numFmtId="0" fontId="4" fillId="0" borderId="0" xfId="0" applyFont="1"/>
    <xf numFmtId="0" fontId="3" fillId="0" borderId="1" xfId="0" applyFont="1" applyBorder="1"/>
    <xf numFmtId="0" fontId="3" fillId="0" borderId="3" xfId="0" applyFont="1" applyBorder="1"/>
    <xf numFmtId="0" fontId="3" fillId="0" borderId="5" xfId="0" applyFont="1" applyBorder="1"/>
    <xf numFmtId="0" fontId="2" fillId="0" borderId="1" xfId="0" applyFont="1" applyBorder="1" applyAlignment="1">
      <alignment horizontal="center"/>
    </xf>
    <xf numFmtId="0" fontId="2" fillId="0" borderId="7" xfId="0" applyFont="1" applyBorder="1" applyAlignment="1">
      <alignment horizontal="center"/>
    </xf>
    <xf numFmtId="0" fontId="2" fillId="0" borderId="2" xfId="0" applyFont="1" applyBorder="1" applyAlignment="1">
      <alignment horizontal="center"/>
    </xf>
    <xf numFmtId="164" fontId="3" fillId="0" borderId="0" xfId="0" applyNumberFormat="1" applyFont="1"/>
    <xf numFmtId="0" fontId="3" fillId="0" borderId="4" xfId="0" applyFont="1" applyBorder="1"/>
    <xf numFmtId="165" fontId="3" fillId="0" borderId="0" xfId="0" applyNumberFormat="1" applyFont="1"/>
    <xf numFmtId="0" fontId="3" fillId="0" borderId="8" xfId="0" applyFont="1" applyBorder="1"/>
    <xf numFmtId="0" fontId="3" fillId="0" borderId="6" xfId="0" applyFont="1" applyBorder="1"/>
    <xf numFmtId="0" fontId="3" fillId="0" borderId="7" xfId="0" applyFont="1" applyBorder="1"/>
    <xf numFmtId="0" fontId="3" fillId="5" borderId="0" xfId="0" applyFont="1" applyFill="1"/>
    <xf numFmtId="0" fontId="2" fillId="4" borderId="1" xfId="0" applyFont="1" applyFill="1" applyBorder="1" applyAlignment="1">
      <alignment horizontal="center" wrapText="1"/>
    </xf>
    <xf numFmtId="0" fontId="2" fillId="4" borderId="7" xfId="0" applyFont="1" applyFill="1" applyBorder="1" applyAlignment="1">
      <alignment horizontal="center" wrapText="1"/>
    </xf>
    <xf numFmtId="0" fontId="2" fillId="3" borderId="7" xfId="0" applyFont="1" applyFill="1" applyBorder="1" applyAlignment="1">
      <alignment horizontal="center" wrapText="1"/>
    </xf>
    <xf numFmtId="0" fontId="2" fillId="3" borderId="2" xfId="0" applyFont="1" applyFill="1" applyBorder="1" applyAlignment="1">
      <alignment horizontal="center" wrapText="1"/>
    </xf>
    <xf numFmtId="0" fontId="2" fillId="3" borderId="1"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3" fillId="4" borderId="4" xfId="0" applyFont="1" applyFill="1" applyBorder="1"/>
    <xf numFmtId="0" fontId="3" fillId="4" borderId="8" xfId="0" applyFont="1" applyFill="1" applyBorder="1"/>
    <xf numFmtId="0" fontId="3" fillId="4" borderId="6" xfId="0" applyFont="1" applyFill="1" applyBorder="1"/>
    <xf numFmtId="0" fontId="2" fillId="0" borderId="0" xfId="0" applyFont="1" applyAlignment="1">
      <alignment horizontal="center" vertical="center" wrapText="1"/>
    </xf>
    <xf numFmtId="0" fontId="3" fillId="0" borderId="0" xfId="0" applyFont="1" applyAlignment="1">
      <alignment horizontal="center" vertical="center" wrapText="1"/>
    </xf>
    <xf numFmtId="0" fontId="3" fillId="4" borderId="0" xfId="0" applyFont="1" applyFill="1" applyAlignment="1">
      <alignment wrapText="1"/>
    </xf>
    <xf numFmtId="0" fontId="3" fillId="6" borderId="0" xfId="0" applyFont="1" applyFill="1" applyAlignment="1">
      <alignment vertical="top" wrapText="1"/>
    </xf>
    <xf numFmtId="0" fontId="2" fillId="3" borderId="0" xfId="0" applyFont="1" applyFill="1" applyAlignment="1">
      <alignment horizontal="center" vertical="center" wrapText="1"/>
    </xf>
    <xf numFmtId="4" fontId="3" fillId="0" borderId="0" xfId="0" applyNumberFormat="1" applyFont="1"/>
    <xf numFmtId="49" fontId="3" fillId="0" borderId="0" xfId="0" applyNumberFormat="1" applyFont="1"/>
    <xf numFmtId="0" fontId="3" fillId="2" borderId="0" xfId="0" applyFont="1" applyFill="1"/>
    <xf numFmtId="0" fontId="3" fillId="9" borderId="0" xfId="0" applyFont="1" applyFill="1" applyAlignment="1">
      <alignment vertical="top" wrapText="1"/>
    </xf>
    <xf numFmtId="0" fontId="2" fillId="5" borderId="0" xfId="0" applyFont="1" applyFill="1" applyAlignment="1">
      <alignment horizontal="center" wrapText="1"/>
    </xf>
    <xf numFmtId="166" fontId="3" fillId="0" borderId="0" xfId="0" applyNumberFormat="1" applyFont="1" applyAlignment="1">
      <alignment horizontal="right"/>
    </xf>
    <xf numFmtId="0" fontId="3" fillId="0" borderId="0" xfId="0" applyFont="1" applyAlignment="1">
      <alignment horizontal="right"/>
    </xf>
    <xf numFmtId="0" fontId="2" fillId="4" borderId="0" xfId="0" applyFont="1" applyFill="1" applyAlignment="1">
      <alignment horizontal="center" vertical="center" wrapText="1"/>
    </xf>
    <xf numFmtId="0" fontId="2" fillId="4" borderId="0" xfId="0" applyFont="1" applyFill="1" applyAlignment="1">
      <alignment horizontal="center"/>
    </xf>
    <xf numFmtId="0" fontId="3" fillId="4" borderId="0" xfId="0" applyFont="1" applyFill="1" applyAlignment="1">
      <alignment horizontal="center" vertical="center"/>
    </xf>
    <xf numFmtId="9" fontId="3" fillId="0" borderId="0" xfId="0" applyNumberFormat="1" applyFont="1"/>
    <xf numFmtId="0" fontId="3" fillId="6" borderId="0" xfId="0" applyFont="1" applyFill="1" applyAlignment="1">
      <alignment wrapText="1"/>
    </xf>
    <xf numFmtId="0" fontId="3" fillId="0" borderId="0" xfId="0" applyFont="1" applyAlignment="1">
      <alignment vertical="center"/>
    </xf>
    <xf numFmtId="0" fontId="3" fillId="7" borderId="0" xfId="0" applyFont="1" applyFill="1" applyAlignment="1">
      <alignment wrapText="1"/>
    </xf>
    <xf numFmtId="0" fontId="3" fillId="4" borderId="0" xfId="0" applyFont="1" applyFill="1" applyAlignment="1">
      <alignment horizontal="center" vertical="center" wrapText="1"/>
    </xf>
    <xf numFmtId="0" fontId="3" fillId="6" borderId="0" xfId="0" applyFont="1" applyFill="1"/>
    <xf numFmtId="0" fontId="1" fillId="2" borderId="0" xfId="0" applyFont="1" applyFill="1" applyAlignment="1">
      <alignment horizontal="center"/>
    </xf>
    <xf numFmtId="0" fontId="0" fillId="0" borderId="0" xfId="0" applyFont="1" applyAlignment="1"/>
    <xf numFmtId="0" fontId="3" fillId="4" borderId="0" xfId="0" applyFont="1" applyFill="1" applyAlignment="1">
      <alignment vertical="center"/>
    </xf>
    <xf numFmtId="0" fontId="3" fillId="4" borderId="0" xfId="0" applyFont="1" applyFill="1" applyAlignment="1">
      <alignment vertical="top" wrapText="1"/>
    </xf>
    <xf numFmtId="0" fontId="5" fillId="3" borderId="0" xfId="0" applyFont="1" applyFill="1"/>
    <xf numFmtId="0" fontId="3" fillId="0" borderId="1" xfId="0" applyFont="1" applyBorder="1"/>
    <xf numFmtId="0" fontId="6" fillId="0" borderId="2" xfId="0" applyFont="1" applyBorder="1"/>
    <xf numFmtId="0" fontId="6" fillId="0" borderId="4" xfId="0" applyFont="1" applyBorder="1"/>
    <xf numFmtId="0" fontId="6" fillId="0" borderId="6" xfId="0" applyFont="1" applyBorder="1"/>
    <xf numFmtId="0" fontId="3" fillId="0" borderId="7" xfId="0" applyFont="1" applyBorder="1"/>
    <xf numFmtId="0" fontId="6" fillId="0" borderId="7" xfId="0" applyFont="1" applyBorder="1"/>
    <xf numFmtId="0" fontId="3" fillId="0" borderId="0" xfId="0" applyFont="1"/>
    <xf numFmtId="0" fontId="3" fillId="0" borderId="8" xfId="0" applyFont="1" applyBorder="1"/>
    <xf numFmtId="0" fontId="6" fillId="0" borderId="8" xfId="0" applyFont="1" applyBorder="1"/>
    <xf numFmtId="0" fontId="3" fillId="4" borderId="0" xfId="0" applyFont="1" applyFill="1" applyAlignment="1">
      <alignment vertical="top"/>
    </xf>
    <xf numFmtId="0" fontId="3" fillId="4" borderId="0" xfId="0" applyFont="1" applyFill="1" applyAlignment="1">
      <alignment wrapText="1"/>
    </xf>
    <xf numFmtId="0" fontId="3" fillId="6" borderId="0" xfId="0" applyFont="1" applyFill="1" applyAlignment="1">
      <alignment vertical="top" wrapText="1"/>
    </xf>
    <xf numFmtId="0" fontId="3" fillId="7" borderId="0" xfId="0" applyFont="1" applyFill="1" applyAlignment="1">
      <alignment vertical="top" wrapText="1"/>
    </xf>
    <xf numFmtId="0" fontId="3" fillId="8" borderId="0" xfId="0" applyFont="1" applyFill="1" applyAlignment="1">
      <alignment vertical="top" wrapText="1"/>
    </xf>
    <xf numFmtId="0" fontId="7" fillId="4" borderId="0" xfId="0" applyFont="1" applyFill="1"/>
    <xf numFmtId="0" fontId="3" fillId="4" borderId="0" xfId="0" applyFont="1" applyFill="1"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theme" Target="theme/theme1.xml" /><Relationship Id="rId5" Type="http://schemas.openxmlformats.org/officeDocument/2006/relationships/worksheet" Target="worksheets/sheet5.xml" /><Relationship Id="rId4" Type="http://schemas.openxmlformats.org/officeDocument/2006/relationships/worksheet" Target="worksheets/sheet4.xml" /><Relationship Id="rId9" Type="http://schemas.openxmlformats.org/officeDocument/2006/relationships/calcChain" Target="calcChain.xml" /></Relationships>
</file>

<file path=xl/drawings/_rels/drawing1.xml.rels><?xml version="1.0" encoding="UTF-8" standalone="yes"?>
<Relationships xmlns="http://schemas.openxmlformats.org/package/2006/relationships"><Relationship Id="rId3" Type="http://schemas.openxmlformats.org/officeDocument/2006/relationships/image" Target="../media/image3.png" /><Relationship Id="rId2" Type="http://schemas.openxmlformats.org/officeDocument/2006/relationships/image" Target="../media/image2.png" /><Relationship Id="rId1" Type="http://schemas.openxmlformats.org/officeDocument/2006/relationships/image" Target="../media/image1.png" /><Relationship Id="rId5" Type="http://schemas.openxmlformats.org/officeDocument/2006/relationships/image" Target="../media/image5.png" /><Relationship Id="rId4" Type="http://schemas.openxmlformats.org/officeDocument/2006/relationships/image" Target="../media/image4.png" /></Relationships>
</file>

<file path=xl/drawings/_rels/drawing2.xml.rels><?xml version="1.0" encoding="UTF-8" standalone="yes"?>
<Relationships xmlns="http://schemas.openxmlformats.org/package/2006/relationships"><Relationship Id="rId3" Type="http://schemas.openxmlformats.org/officeDocument/2006/relationships/image" Target="../media/image8.png" /><Relationship Id="rId2" Type="http://schemas.openxmlformats.org/officeDocument/2006/relationships/image" Target="../media/image7.png" /><Relationship Id="rId1" Type="http://schemas.openxmlformats.org/officeDocument/2006/relationships/image" Target="../media/image6.png" /><Relationship Id="rId4" Type="http://schemas.openxmlformats.org/officeDocument/2006/relationships/image" Target="../media/image9.png" /></Relationships>
</file>

<file path=xl/drawings/drawing1.xml><?xml version="1.0" encoding="utf-8"?>
<xdr:wsDr xmlns:xdr="http://schemas.openxmlformats.org/drawingml/2006/spreadsheetDrawing" xmlns:a="http://schemas.openxmlformats.org/drawingml/2006/main">
  <xdr:oneCellAnchor>
    <xdr:from>
      <xdr:col>5</xdr:col>
      <xdr:colOff>200025</xdr:colOff>
      <xdr:row>18</xdr:row>
      <xdr:rowOff>114300</xdr:rowOff>
    </xdr:from>
    <xdr:ext cx="3514725" cy="819150"/>
    <xdr:pic>
      <xdr:nvPicPr>
        <xdr:cNvPr id="2" name="image3.png" title="Зображення">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142875</xdr:colOff>
      <xdr:row>0</xdr:row>
      <xdr:rowOff>209550</xdr:rowOff>
    </xdr:from>
    <xdr:ext cx="3810000" cy="1009650"/>
    <xdr:pic>
      <xdr:nvPicPr>
        <xdr:cNvPr id="3" name="image6.png" title="Зображення">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1752600</xdr:colOff>
      <xdr:row>29</xdr:row>
      <xdr:rowOff>95250</xdr:rowOff>
    </xdr:from>
    <xdr:ext cx="2314575" cy="504825"/>
    <xdr:pic>
      <xdr:nvPicPr>
        <xdr:cNvPr id="4" name="image1.png" title="Зображення">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5</xdr:col>
      <xdr:colOff>9525</xdr:colOff>
      <xdr:row>38</xdr:row>
      <xdr:rowOff>161925</xdr:rowOff>
    </xdr:from>
    <xdr:ext cx="5819775" cy="390525"/>
    <xdr:pic>
      <xdr:nvPicPr>
        <xdr:cNvPr id="5" name="image4.png" title="Зображення">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4</xdr:col>
      <xdr:colOff>3305175</xdr:colOff>
      <xdr:row>41</xdr:row>
      <xdr:rowOff>161925</xdr:rowOff>
    </xdr:from>
    <xdr:ext cx="5876925" cy="447675"/>
    <xdr:pic>
      <xdr:nvPicPr>
        <xdr:cNvPr id="6" name="image2.png" title="Зображення">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152400</xdr:colOff>
      <xdr:row>40</xdr:row>
      <xdr:rowOff>152400</xdr:rowOff>
    </xdr:from>
    <xdr:ext cx="6467475" cy="733425"/>
    <xdr:pic>
      <xdr:nvPicPr>
        <xdr:cNvPr id="2" name="image8.png" title="Зображення">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190500</xdr:colOff>
      <xdr:row>9</xdr:row>
      <xdr:rowOff>180975</xdr:rowOff>
    </xdr:from>
    <xdr:ext cx="6600825" cy="523875"/>
    <xdr:pic>
      <xdr:nvPicPr>
        <xdr:cNvPr id="3" name="image7.png" title="Зображення">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5</xdr:col>
      <xdr:colOff>2266950</xdr:colOff>
      <xdr:row>9</xdr:row>
      <xdr:rowOff>219075</xdr:rowOff>
    </xdr:from>
    <xdr:ext cx="2695575" cy="457200"/>
    <xdr:pic>
      <xdr:nvPicPr>
        <xdr:cNvPr id="4" name="image9.png" title="Зображення">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152400</xdr:colOff>
      <xdr:row>9</xdr:row>
      <xdr:rowOff>190500</xdr:rowOff>
    </xdr:from>
    <xdr:ext cx="2219325" cy="590550"/>
    <xdr:pic>
      <xdr:nvPicPr>
        <xdr:cNvPr id="5" name="image5.png" title="Зображення">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0"/>
  <sheetViews>
    <sheetView tabSelected="1" topLeftCell="A71" workbookViewId="0">
      <selection activeCell="B76" sqref="B76:E76"/>
    </sheetView>
  </sheetViews>
  <sheetFormatPr defaultColWidth="12.67578125" defaultRowHeight="15" customHeight="1" x14ac:dyDescent="0.15"/>
  <cols>
    <col min="1" max="1" width="12.67578125" customWidth="1"/>
    <col min="2" max="2" width="15.23828125" customWidth="1"/>
    <col min="3" max="3" width="20.08984375" customWidth="1"/>
    <col min="4" max="4" width="31.015625" customWidth="1"/>
    <col min="5" max="5" width="84.8203125" customWidth="1"/>
    <col min="6" max="6" width="23.8671875" customWidth="1"/>
    <col min="7" max="7" width="30.4765625" customWidth="1"/>
  </cols>
  <sheetData>
    <row r="1" spans="1:7" ht="15.75" customHeight="1" x14ac:dyDescent="0.2">
      <c r="A1" s="53" t="s">
        <v>0</v>
      </c>
      <c r="B1" s="54"/>
      <c r="C1" s="54"/>
      <c r="D1" s="54"/>
      <c r="E1" s="54"/>
      <c r="F1" s="54"/>
      <c r="G1" s="54"/>
    </row>
    <row r="2" spans="1:7" ht="15.75" customHeight="1" x14ac:dyDescent="0.15">
      <c r="A2" s="1" t="s">
        <v>1</v>
      </c>
      <c r="B2" s="2" t="s">
        <v>2</v>
      </c>
      <c r="C2" s="2" t="s">
        <v>3</v>
      </c>
      <c r="D2" s="3" t="s">
        <v>4</v>
      </c>
      <c r="E2" s="3" t="s">
        <v>5</v>
      </c>
      <c r="F2" s="3" t="s">
        <v>6</v>
      </c>
      <c r="G2" s="3" t="s">
        <v>7</v>
      </c>
    </row>
    <row r="3" spans="1:7" ht="15.75" customHeight="1" x14ac:dyDescent="0.15">
      <c r="A3" s="4" t="s">
        <v>8</v>
      </c>
      <c r="B3" s="5" t="s">
        <v>9</v>
      </c>
      <c r="C3" s="5" t="s">
        <v>10</v>
      </c>
      <c r="D3" t="str">
        <f>CONCATENATE(A3," ",C3)</f>
        <v>Інна Володимирівна</v>
      </c>
      <c r="E3" t="str">
        <f>CONCATENATE(A3," ",B3)</f>
        <v>Інна Тріщук</v>
      </c>
      <c r="F3" t="str">
        <f>CONCATENATE(B3," ",A3)</f>
        <v>Тріщук Інна</v>
      </c>
      <c r="G3" t="str">
        <f>CONCATENATE(B3," ",A3," ", C3)</f>
        <v>Тріщук Інна Володимирівна</v>
      </c>
    </row>
    <row r="4" spans="1:7" ht="15.75" customHeight="1" x14ac:dyDescent="0.15">
      <c r="A4" s="4" t="s">
        <v>11</v>
      </c>
      <c r="B4" s="5" t="s">
        <v>12</v>
      </c>
      <c r="C4" s="5" t="s">
        <v>13</v>
      </c>
      <c r="D4" t="str">
        <f>CONCATENATE(A4," ",C4)</f>
        <v>Олександр Юрійович</v>
      </c>
      <c r="E4" t="str">
        <f t="shared" ref="E4:E8" si="0">CONCATENATE(A4," ",B4)</f>
        <v>Олександр Лазарець</v>
      </c>
      <c r="F4" t="str">
        <f t="shared" ref="F4:F8" si="1">CONCATENATE(B4," ",A4)</f>
        <v>Лазарець Олександр</v>
      </c>
      <c r="G4" t="str">
        <f t="shared" ref="G4:G8" si="2">CONCATENATE(B4," ",A4," ", C4)</f>
        <v>Лазарець Олександр Юрійович</v>
      </c>
    </row>
    <row r="5" spans="1:7" ht="15.75" customHeight="1" x14ac:dyDescent="0.15">
      <c r="A5" s="5" t="s">
        <v>14</v>
      </c>
      <c r="B5" s="5" t="s">
        <v>15</v>
      </c>
      <c r="C5" s="5" t="s">
        <v>16</v>
      </c>
      <c r="D5" t="str">
        <f t="shared" ref="D4:D8" si="3">CONCATENATE(A5," ",C5)</f>
        <v>Марина Максимівна</v>
      </c>
      <c r="E5" t="str">
        <f t="shared" si="0"/>
        <v>Марина Корпан</v>
      </c>
      <c r="F5" t="str">
        <f t="shared" si="1"/>
        <v>Корпан Марина</v>
      </c>
      <c r="G5" t="str">
        <f t="shared" si="2"/>
        <v>Корпан Марина Максимівна</v>
      </c>
    </row>
    <row r="6" spans="1:7" ht="15.75" customHeight="1" x14ac:dyDescent="0.15">
      <c r="A6" s="5" t="s">
        <v>17</v>
      </c>
      <c r="B6" s="5" t="s">
        <v>18</v>
      </c>
      <c r="C6" s="5" t="s">
        <v>19</v>
      </c>
      <c r="D6" t="str">
        <f t="shared" si="3"/>
        <v>Оксана Миколаївна</v>
      </c>
      <c r="E6" t="str">
        <f t="shared" si="0"/>
        <v>Оксана Трубілко</v>
      </c>
      <c r="F6" t="str">
        <f t="shared" si="1"/>
        <v>Трубілко Оксана</v>
      </c>
      <c r="G6" t="str">
        <f t="shared" si="2"/>
        <v>Трубілко Оксана Миколаївна</v>
      </c>
    </row>
    <row r="7" spans="1:7" ht="15.75" customHeight="1" x14ac:dyDescent="0.15">
      <c r="A7" s="5" t="s">
        <v>20</v>
      </c>
      <c r="B7" s="5" t="s">
        <v>21</v>
      </c>
      <c r="C7" s="5" t="s">
        <v>22</v>
      </c>
      <c r="D7" t="str">
        <f t="shared" si="3"/>
        <v>Михайло Сергіївна</v>
      </c>
      <c r="E7" t="str">
        <f t="shared" si="0"/>
        <v>Михайло Назарчук</v>
      </c>
      <c r="F7" t="str">
        <f t="shared" si="1"/>
        <v>Назарчук Михайло</v>
      </c>
      <c r="G7" t="str">
        <f t="shared" si="2"/>
        <v>Назарчук Михайло Сергіївна</v>
      </c>
    </row>
    <row r="8" spans="1:7" ht="15.75" customHeight="1" x14ac:dyDescent="0.15">
      <c r="A8" s="5" t="s">
        <v>23</v>
      </c>
      <c r="B8" s="5" t="s">
        <v>24</v>
      </c>
      <c r="C8" s="5" t="s">
        <v>13</v>
      </c>
      <c r="D8" t="str">
        <f t="shared" si="3"/>
        <v>Ярослав Юрійович</v>
      </c>
      <c r="E8" t="str">
        <f t="shared" si="0"/>
        <v>Ярослав Макарицький</v>
      </c>
      <c r="F8" t="str">
        <f t="shared" si="1"/>
        <v>Макарицький Ярослав</v>
      </c>
      <c r="G8" t="str">
        <f t="shared" si="2"/>
        <v>Макарицький Ярослав Юрійович</v>
      </c>
    </row>
    <row r="9" spans="1:7" ht="15.75" customHeight="1" x14ac:dyDescent="0.15"/>
    <row r="10" spans="1:7" ht="15.75" customHeight="1" x14ac:dyDescent="0.15">
      <c r="A10" s="55" t="s">
        <v>25</v>
      </c>
      <c r="B10" s="54"/>
      <c r="C10" s="54"/>
      <c r="D10" s="54"/>
    </row>
    <row r="11" spans="1:7" ht="15.75" customHeight="1" x14ac:dyDescent="0.15">
      <c r="A11" s="54"/>
      <c r="B11" s="54"/>
      <c r="C11" s="54"/>
      <c r="D11" s="54"/>
    </row>
    <row r="12" spans="1:7" ht="15.75" customHeight="1" x14ac:dyDescent="0.15">
      <c r="A12" s="54"/>
      <c r="B12" s="54"/>
      <c r="C12" s="54"/>
      <c r="D12" s="54"/>
    </row>
    <row r="13" spans="1:7" ht="15.75" customHeight="1" x14ac:dyDescent="0.15"/>
    <row r="14" spans="1:7" ht="15.75" customHeight="1" x14ac:dyDescent="0.2">
      <c r="A14" s="53" t="s">
        <v>26</v>
      </c>
      <c r="B14" s="54"/>
      <c r="C14" s="54"/>
      <c r="D14" s="54"/>
      <c r="E14" s="54"/>
      <c r="F14" s="54"/>
      <c r="G14" s="54"/>
    </row>
    <row r="15" spans="1:7" ht="15.75" customHeight="1" x14ac:dyDescent="0.15">
      <c r="A15" s="1" t="s">
        <v>1</v>
      </c>
      <c r="B15" s="2" t="s">
        <v>2</v>
      </c>
      <c r="C15" s="3" t="s">
        <v>1</v>
      </c>
      <c r="D15" s="3" t="s">
        <v>2</v>
      </c>
    </row>
    <row r="16" spans="1:7" ht="15.75" customHeight="1" x14ac:dyDescent="0.15">
      <c r="A16" s="4" t="s">
        <v>8</v>
      </c>
      <c r="B16" s="5" t="s">
        <v>9</v>
      </c>
      <c r="C16" s="5" t="str">
        <f>UPPER(A16)</f>
        <v>ІННА</v>
      </c>
      <c r="D16" t="str">
        <f>LOWER(B16)</f>
        <v>тріщук</v>
      </c>
      <c r="F16" s="56" t="s">
        <v>27</v>
      </c>
      <c r="G16" s="54"/>
    </row>
    <row r="17" spans="1:7" ht="15.75" customHeight="1" x14ac:dyDescent="0.15">
      <c r="A17" s="4" t="s">
        <v>11</v>
      </c>
      <c r="B17" s="5" t="s">
        <v>12</v>
      </c>
      <c r="C17" s="5" t="str">
        <f t="shared" ref="C17:C21" si="4">UPPER(A17)</f>
        <v>ОЛЕКСАНДР</v>
      </c>
      <c r="D17" t="str">
        <f t="shared" ref="D17:D21" si="5">LOWER(B17)</f>
        <v>лазарець</v>
      </c>
      <c r="F17" s="54"/>
      <c r="G17" s="54"/>
    </row>
    <row r="18" spans="1:7" ht="15.75" customHeight="1" x14ac:dyDescent="0.15">
      <c r="A18" s="5" t="s">
        <v>14</v>
      </c>
      <c r="B18" s="5" t="s">
        <v>15</v>
      </c>
      <c r="C18" s="5" t="str">
        <f t="shared" si="4"/>
        <v>МАРИНА</v>
      </c>
      <c r="D18" t="str">
        <f t="shared" si="5"/>
        <v>корпан</v>
      </c>
      <c r="F18" s="54"/>
      <c r="G18" s="54"/>
    </row>
    <row r="19" spans="1:7" ht="15.75" customHeight="1" x14ac:dyDescent="0.15">
      <c r="A19" s="5" t="s">
        <v>17</v>
      </c>
      <c r="B19" s="5" t="s">
        <v>18</v>
      </c>
      <c r="C19" s="5" t="str">
        <f t="shared" si="4"/>
        <v>ОКСАНА</v>
      </c>
      <c r="D19" t="str">
        <f t="shared" si="5"/>
        <v>трубілко</v>
      </c>
      <c r="F19" s="54"/>
      <c r="G19" s="54"/>
    </row>
    <row r="20" spans="1:7" ht="15.75" customHeight="1" x14ac:dyDescent="0.15">
      <c r="A20" s="5" t="s">
        <v>20</v>
      </c>
      <c r="B20" s="5" t="s">
        <v>21</v>
      </c>
      <c r="C20" s="5" t="str">
        <f t="shared" si="4"/>
        <v>МИХАЙЛО</v>
      </c>
      <c r="D20" t="str">
        <f t="shared" si="5"/>
        <v>назарчук</v>
      </c>
    </row>
    <row r="21" spans="1:7" ht="15.75" customHeight="1" x14ac:dyDescent="0.15">
      <c r="A21" s="5" t="s">
        <v>23</v>
      </c>
      <c r="B21" s="5" t="s">
        <v>24</v>
      </c>
      <c r="C21" s="5" t="str">
        <f t="shared" si="4"/>
        <v>ЯРОСЛАВ</v>
      </c>
      <c r="D21" t="str">
        <f t="shared" si="5"/>
        <v>макарицький</v>
      </c>
    </row>
    <row r="22" spans="1:7" ht="15.75" customHeight="1" x14ac:dyDescent="0.15"/>
    <row r="23" spans="1:7" ht="15.75" customHeight="1" x14ac:dyDescent="0.15"/>
    <row r="24" spans="1:7" ht="15.75" customHeight="1" x14ac:dyDescent="0.15"/>
    <row r="25" spans="1:7" ht="15.75" customHeight="1" x14ac:dyDescent="0.15"/>
    <row r="26" spans="1:7" ht="15.75" customHeight="1" x14ac:dyDescent="0.2">
      <c r="A26" s="53" t="s">
        <v>28</v>
      </c>
      <c r="B26" s="54"/>
      <c r="C26" s="54"/>
      <c r="D26" s="54"/>
      <c r="E26" s="54"/>
      <c r="F26" s="54"/>
      <c r="G26" s="54"/>
    </row>
    <row r="27" spans="1:7" ht="15.75" customHeight="1" x14ac:dyDescent="0.15">
      <c r="A27" s="2" t="s">
        <v>2</v>
      </c>
      <c r="B27" s="3" t="s">
        <v>29</v>
      </c>
    </row>
    <row r="28" spans="1:7" ht="15.75" customHeight="1" x14ac:dyDescent="0.15">
      <c r="A28" s="5" t="s">
        <v>9</v>
      </c>
      <c r="B28" s="8">
        <f t="shared" ref="B28:B33" si="6">LEN(A28)</f>
        <v>6</v>
      </c>
      <c r="F28" s="56" t="s">
        <v>30</v>
      </c>
      <c r="G28" s="54"/>
    </row>
    <row r="29" spans="1:7" ht="15.75" customHeight="1" x14ac:dyDescent="0.15">
      <c r="A29" s="5" t="s">
        <v>12</v>
      </c>
      <c r="B29" s="8">
        <f t="shared" si="6"/>
        <v>8</v>
      </c>
      <c r="F29" s="54"/>
      <c r="G29" s="54"/>
    </row>
    <row r="30" spans="1:7" ht="15.75" customHeight="1" x14ac:dyDescent="0.15">
      <c r="A30" s="5" t="s">
        <v>15</v>
      </c>
      <c r="B30" s="8">
        <f t="shared" si="6"/>
        <v>6</v>
      </c>
      <c r="F30" s="54"/>
      <c r="G30" s="54"/>
    </row>
    <row r="31" spans="1:7" ht="15.75" customHeight="1" x14ac:dyDescent="0.15">
      <c r="A31" s="5" t="s">
        <v>18</v>
      </c>
      <c r="B31" s="8">
        <f t="shared" si="6"/>
        <v>8</v>
      </c>
    </row>
    <row r="32" spans="1:7" ht="15.75" customHeight="1" x14ac:dyDescent="0.15">
      <c r="A32" s="5" t="s">
        <v>21</v>
      </c>
      <c r="B32" s="8">
        <f t="shared" si="6"/>
        <v>8</v>
      </c>
    </row>
    <row r="33" spans="1:7" ht="15.75" customHeight="1" x14ac:dyDescent="0.15">
      <c r="A33" s="5" t="s">
        <v>24</v>
      </c>
      <c r="B33" s="8">
        <f t="shared" si="6"/>
        <v>11</v>
      </c>
    </row>
    <row r="34" spans="1:7" ht="15.75" customHeight="1" x14ac:dyDescent="0.15"/>
    <row r="35" spans="1:7" ht="15.75" customHeight="1" x14ac:dyDescent="0.15"/>
    <row r="36" spans="1:7" ht="15.75" customHeight="1" x14ac:dyDescent="0.2">
      <c r="A36" s="53" t="s">
        <v>31</v>
      </c>
      <c r="B36" s="54"/>
      <c r="C36" s="54"/>
      <c r="D36" s="54"/>
      <c r="E36" s="54"/>
      <c r="F36" s="54"/>
      <c r="G36" s="54"/>
    </row>
    <row r="37" spans="1:7" ht="15.75" customHeight="1" x14ac:dyDescent="0.15">
      <c r="A37" s="1" t="s">
        <v>1</v>
      </c>
      <c r="B37" s="2" t="s">
        <v>2</v>
      </c>
      <c r="C37" s="2" t="s">
        <v>32</v>
      </c>
      <c r="D37" s="57" t="s">
        <v>33</v>
      </c>
      <c r="E37" s="54"/>
    </row>
    <row r="38" spans="1:7" ht="15.75" customHeight="1" x14ac:dyDescent="0.15">
      <c r="A38" s="4" t="s">
        <v>8</v>
      </c>
      <c r="B38" s="5" t="s">
        <v>9</v>
      </c>
      <c r="C38" s="5" t="s">
        <v>34</v>
      </c>
      <c r="D38" s="58" t="str">
        <f>CONCATENATE("Доброго дня шановна(ий) ",A38," ",B38,". Ми раді нагадати Вам Ваш емейл - ",C38)</f>
        <v>Доброго дня шановна(ий) Інна Тріщук. Ми раді нагадати Вам Ваш емейл - inna@example.com</v>
      </c>
      <c r="E38" s="59"/>
      <c r="F38" s="56" t="s">
        <v>35</v>
      </c>
      <c r="G38" s="54"/>
    </row>
    <row r="39" spans="1:7" ht="15.75" customHeight="1" x14ac:dyDescent="0.15">
      <c r="A39" s="4" t="s">
        <v>11</v>
      </c>
      <c r="B39" s="5" t="s">
        <v>12</v>
      </c>
      <c r="C39" s="5" t="s">
        <v>36</v>
      </c>
      <c r="D39" s="58" t="str">
        <f>CONCATENATE("Доброго дня шановна(ий) ",A39," ",B39,". Ми раді нагадати Вам Ваш емейл - ",C39)</f>
        <v>Доброго дня шановна(ий) Олександр Лазарець. Ми раді нагадати Вам Ваш емейл - oleksandr@example.com</v>
      </c>
      <c r="E39" s="59"/>
      <c r="F39" s="54"/>
      <c r="G39" s="54"/>
    </row>
    <row r="40" spans="1:7" ht="15.75" customHeight="1" x14ac:dyDescent="0.15">
      <c r="A40" s="5" t="s">
        <v>14</v>
      </c>
      <c r="B40" s="5" t="s">
        <v>15</v>
      </c>
      <c r="C40" s="5" t="s">
        <v>37</v>
      </c>
      <c r="D40" s="58" t="str">
        <f>CONCATENATE("Доброго дня шановна(ий) ",A40," ",B40,". Ми раді нагадати Вам Ваш емейл - ",C40)</f>
        <v>Доброго дня шановна(ий) Марина Корпан. Ми раді нагадати Вам Ваш емейл - maryna@example.com</v>
      </c>
      <c r="E40" s="59"/>
    </row>
    <row r="41" spans="1:7" ht="15.75" customHeight="1" x14ac:dyDescent="0.15">
      <c r="A41" s="5" t="s">
        <v>17</v>
      </c>
      <c r="B41" s="5" t="s">
        <v>18</v>
      </c>
      <c r="C41" s="5" t="s">
        <v>38</v>
      </c>
      <c r="D41" s="58" t="str">
        <f>CONCATENATE("Доброго дня шановна(ий) ",A41," ",B41,". Ми раді нагадати Вам Ваш емейл - ",C41)</f>
        <v>Доброго дня шановна(ий) Оксана Трубілко. Ми раді нагадати Вам Ваш емейл - oksana@example.com</v>
      </c>
      <c r="E41" s="59"/>
    </row>
    <row r="42" spans="1:7" ht="15.75" customHeight="1" x14ac:dyDescent="0.15">
      <c r="A42" s="5" t="s">
        <v>20</v>
      </c>
      <c r="B42" s="5" t="s">
        <v>21</v>
      </c>
      <c r="C42" s="5" t="s">
        <v>39</v>
      </c>
      <c r="D42" s="58" t="str">
        <f>CONCATENATE("Доброго дня шановна(ий) ",A42," ",B42,". Ми раді нагадати Вам Ваш емейл - ",C42)</f>
        <v>Доброго дня шановна(ий) Михайло Назарчук. Ми раді нагадати Вам Ваш емейл - mykhaylo@example.com</v>
      </c>
      <c r="E42" s="59"/>
    </row>
    <row r="43" spans="1:7" ht="15.75" customHeight="1" x14ac:dyDescent="0.15">
      <c r="A43" s="5" t="s">
        <v>23</v>
      </c>
      <c r="B43" s="5" t="s">
        <v>24</v>
      </c>
      <c r="C43" s="5" t="s">
        <v>40</v>
      </c>
      <c r="D43" s="58" t="str">
        <f>CONCATENATE("Доброго дня шановна(ий) ",A43," ",B43,". Ми раді нагадати Вам Ваш емейл - ",C43)</f>
        <v>Доброго дня шановна(ий) Ярослав Макарицький. Ми раді нагадати Вам Ваш емейл - Yaroslav@example.com</v>
      </c>
      <c r="E43" s="59"/>
    </row>
    <row r="44" spans="1:7" ht="15.75" customHeight="1" x14ac:dyDescent="0.15"/>
    <row r="45" spans="1:7" ht="15.75" customHeight="1" x14ac:dyDescent="0.15"/>
    <row r="46" spans="1:7" ht="15.75" customHeight="1" x14ac:dyDescent="0.15"/>
    <row r="47" spans="1:7" ht="15.75" customHeight="1" x14ac:dyDescent="0.2">
      <c r="A47" s="53" t="s">
        <v>41</v>
      </c>
      <c r="B47" s="54"/>
      <c r="C47" s="54"/>
      <c r="D47" s="54"/>
      <c r="E47" s="54"/>
      <c r="F47" s="54"/>
      <c r="G47" s="54"/>
    </row>
    <row r="48" spans="1:7" ht="15.75" customHeight="1" x14ac:dyDescent="0.15">
      <c r="A48" s="12" t="s">
        <v>1</v>
      </c>
      <c r="B48" s="13" t="s">
        <v>2</v>
      </c>
      <c r="C48" s="13" t="s">
        <v>42</v>
      </c>
      <c r="D48" s="13" t="s">
        <v>43</v>
      </c>
      <c r="E48" s="14" t="s">
        <v>44</v>
      </c>
    </row>
    <row r="49" spans="1:7" ht="15.75" customHeight="1" x14ac:dyDescent="0.15">
      <c r="A49" s="10" t="s">
        <v>45</v>
      </c>
      <c r="B49" s="5" t="s">
        <v>46</v>
      </c>
      <c r="C49" s="5" t="s">
        <v>47</v>
      </c>
      <c r="D49" s="15">
        <v>45577</v>
      </c>
      <c r="E49" s="16" t="s">
        <v>48</v>
      </c>
      <c r="F49" s="56" t="s">
        <v>49</v>
      </c>
      <c r="G49" s="54"/>
    </row>
    <row r="50" spans="1:7" ht="15.75" customHeight="1" x14ac:dyDescent="0.15">
      <c r="A50" s="10" t="s">
        <v>50</v>
      </c>
      <c r="B50" s="5" t="s">
        <v>51</v>
      </c>
      <c r="C50" s="5" t="s">
        <v>52</v>
      </c>
      <c r="D50" s="17">
        <v>45597</v>
      </c>
      <c r="E50" s="16" t="s">
        <v>53</v>
      </c>
      <c r="F50" s="54"/>
      <c r="G50" s="54"/>
    </row>
    <row r="51" spans="1:7" ht="15.75" customHeight="1" x14ac:dyDescent="0.15">
      <c r="A51" s="10"/>
      <c r="E51" s="16"/>
      <c r="F51" s="54"/>
      <c r="G51" s="54"/>
    </row>
    <row r="52" spans="1:7" ht="15.75" customHeight="1" x14ac:dyDescent="0.15">
      <c r="A52" s="10"/>
      <c r="E52" s="16"/>
    </row>
    <row r="53" spans="1:7" ht="15.75" customHeight="1" x14ac:dyDescent="0.15">
      <c r="A53" s="10"/>
      <c r="E53" s="16"/>
    </row>
    <row r="54" spans="1:7" ht="15.75" customHeight="1" x14ac:dyDescent="0.15">
      <c r="A54" s="11"/>
      <c r="B54" s="18"/>
      <c r="C54" s="18"/>
      <c r="D54" s="18"/>
      <c r="E54" s="19"/>
    </row>
    <row r="55" spans="1:7" ht="15.75" customHeight="1" x14ac:dyDescent="0.2">
      <c r="C55" s="53" t="s">
        <v>54</v>
      </c>
      <c r="D55" s="54"/>
      <c r="E55" s="54"/>
      <c r="F55" s="56" t="s">
        <v>55</v>
      </c>
      <c r="G55" s="54"/>
    </row>
    <row r="56" spans="1:7" ht="15.75" customHeight="1" x14ac:dyDescent="0.15">
      <c r="A56" s="9" t="s">
        <v>45</v>
      </c>
      <c r="B56" s="20" t="s">
        <v>46</v>
      </c>
      <c r="C56" s="62" t="str">
        <f>CONCATENATE("Шановна ",A56," ",B56,", Запрошуємо Вас на День народження, який відбудеться ",D49," у ",E49)</f>
        <v>Шановна Олена Іваненко, Запрошуємо Вас на День народження, який відбудеться 45577 у Кафе "Квітка"</v>
      </c>
      <c r="D56" s="63"/>
      <c r="E56" s="59"/>
      <c r="F56" s="54"/>
      <c r="G56" s="54"/>
    </row>
    <row r="57" spans="1:7" ht="15.75" customHeight="1" x14ac:dyDescent="0.15">
      <c r="A57" s="10" t="s">
        <v>50</v>
      </c>
      <c r="B57" s="5" t="s">
        <v>51</v>
      </c>
      <c r="C57" s="62" t="str">
        <f>CONCATENATE("Шановна ",A57," ",B57,", Запрошуємо Вас на День народження, який відбудеться ",D50," у ",E50)</f>
        <v>Шановна Максим Петров, Запрошуємо Вас на День народження, який відбудеться 45597 у Спортзал школи №12</v>
      </c>
      <c r="D57" s="63"/>
      <c r="E57" s="59"/>
    </row>
    <row r="58" spans="1:7" ht="15.75" customHeight="1" x14ac:dyDescent="0.15">
      <c r="A58" s="10"/>
      <c r="C58" s="64"/>
      <c r="D58" s="54"/>
      <c r="E58" s="60"/>
    </row>
    <row r="59" spans="1:7" ht="15.75" customHeight="1" x14ac:dyDescent="0.15">
      <c r="A59" s="10"/>
      <c r="C59" s="64"/>
      <c r="D59" s="54"/>
      <c r="E59" s="60"/>
    </row>
    <row r="60" spans="1:7" ht="15.75" customHeight="1" x14ac:dyDescent="0.15">
      <c r="A60" s="10"/>
      <c r="C60" s="64"/>
      <c r="D60" s="54"/>
      <c r="E60" s="60"/>
    </row>
    <row r="61" spans="1:7" ht="15.75" customHeight="1" x14ac:dyDescent="0.15">
      <c r="A61" s="11"/>
      <c r="B61" s="18"/>
      <c r="C61" s="65"/>
      <c r="D61" s="66"/>
      <c r="E61" s="61"/>
    </row>
    <row r="62" spans="1:7" ht="15.75" customHeight="1" x14ac:dyDescent="0.15"/>
    <row r="63" spans="1:7" ht="15.75" customHeight="1" x14ac:dyDescent="0.15"/>
    <row r="64" spans="1:7" ht="15.75" customHeight="1" x14ac:dyDescent="0.15"/>
    <row r="65" spans="1:7" ht="15.75" customHeight="1" x14ac:dyDescent="0.2">
      <c r="A65" s="53" t="s">
        <v>56</v>
      </c>
      <c r="B65" s="54"/>
      <c r="C65" s="54"/>
      <c r="D65" s="54"/>
      <c r="E65" s="54"/>
      <c r="F65" s="54"/>
      <c r="G65" s="54"/>
    </row>
    <row r="66" spans="1:7" ht="15.75" customHeight="1" x14ac:dyDescent="0.15">
      <c r="A66" s="12" t="s">
        <v>1</v>
      </c>
      <c r="B66" s="13" t="s">
        <v>57</v>
      </c>
      <c r="C66" s="13" t="s">
        <v>58</v>
      </c>
      <c r="D66" s="14" t="s">
        <v>32</v>
      </c>
      <c r="E66" s="21" t="s">
        <v>59</v>
      </c>
    </row>
    <row r="67" spans="1:7" ht="15.75" customHeight="1" x14ac:dyDescent="0.15">
      <c r="A67" s="10" t="s">
        <v>45</v>
      </c>
      <c r="B67" s="5" t="s">
        <v>60</v>
      </c>
      <c r="C67" s="15">
        <v>45580</v>
      </c>
      <c r="D67" s="16" t="s">
        <v>61</v>
      </c>
      <c r="E67" t="str">
        <f>CONCATENATE("Шановна ",A67,", нагадуємо, що ваше завдання: ",B67, " повинно бути виконане до ",C67)</f>
        <v>Шановна Олена, нагадуємо, що ваше завдання: Написати статтю повинно бути виконане до 45580</v>
      </c>
      <c r="F67" s="56" t="s">
        <v>62</v>
      </c>
      <c r="G67" s="54"/>
    </row>
    <row r="68" spans="1:7" ht="15.75" customHeight="1" x14ac:dyDescent="0.15">
      <c r="A68" s="10" t="s">
        <v>50</v>
      </c>
      <c r="B68" s="5" t="s">
        <v>63</v>
      </c>
      <c r="C68" s="15">
        <v>45585</v>
      </c>
      <c r="D68" s="16" t="s">
        <v>64</v>
      </c>
      <c r="E68" t="str">
        <f>CONCATENATE("Шановна ",A68,", нагадуємо, що ваше завдання: ",B68, " повинно бути виконане до ",C68)</f>
        <v>Шановна Максим, нагадуємо, що ваше завдання: Підготувати звіт повинно бути виконане до 45585</v>
      </c>
      <c r="F68" s="54"/>
      <c r="G68" s="54"/>
    </row>
    <row r="69" spans="1:7" ht="15.75" customHeight="1" x14ac:dyDescent="0.15">
      <c r="A69" s="10"/>
      <c r="D69" s="16"/>
    </row>
    <row r="70" spans="1:7" ht="15.75" customHeight="1" x14ac:dyDescent="0.15">
      <c r="A70" s="10"/>
      <c r="D70" s="16"/>
      <c r="F70" s="56" t="s">
        <v>65</v>
      </c>
      <c r="G70" s="54"/>
    </row>
    <row r="71" spans="1:7" ht="15.75" customHeight="1" x14ac:dyDescent="0.15">
      <c r="A71" s="10"/>
      <c r="D71" s="16"/>
      <c r="F71" s="54"/>
      <c r="G71" s="54"/>
    </row>
    <row r="72" spans="1:7" ht="15.75" customHeight="1" x14ac:dyDescent="0.15">
      <c r="A72" s="10"/>
      <c r="D72" s="16"/>
    </row>
    <row r="73" spans="1:7" ht="15.75" customHeight="1" x14ac:dyDescent="0.15">
      <c r="A73" s="11"/>
      <c r="B73" s="18"/>
      <c r="C73" s="18"/>
      <c r="D73" s="19"/>
    </row>
    <row r="74" spans="1:7" ht="15.75" customHeight="1" x14ac:dyDescent="0.2">
      <c r="B74" s="53" t="s">
        <v>54</v>
      </c>
      <c r="C74" s="54"/>
      <c r="D74" s="54"/>
      <c r="E74" s="54"/>
    </row>
    <row r="75" spans="1:7" ht="15.75" customHeight="1" x14ac:dyDescent="0.15">
      <c r="A75" s="9" t="s">
        <v>45</v>
      </c>
      <c r="B75" s="62" t="str">
        <f>CONCATENATE( "Шановна ",A75, " прошу вас відповісти на мою пропозицію, до ",C67)</f>
        <v>Шановна Олена прошу вас відповісти на мою пропозицію, до 45580</v>
      </c>
      <c r="C75" s="63"/>
      <c r="D75" s="63"/>
      <c r="E75" s="59"/>
    </row>
    <row r="76" spans="1:7" ht="15.75" customHeight="1" x14ac:dyDescent="0.15">
      <c r="A76" s="10" t="s">
        <v>50</v>
      </c>
      <c r="B76" s="62" t="str">
        <f>CONCATENATE( "Шановний ",A76, " прошу вас відповісти на мою пропозицію, до ",C68)</f>
        <v>Шановний Максим прошу вас відповісти на мою пропозицію, до 45585</v>
      </c>
      <c r="C76" s="63"/>
      <c r="D76" s="63"/>
      <c r="E76" s="59"/>
    </row>
    <row r="77" spans="1:7" ht="15.75" customHeight="1" x14ac:dyDescent="0.15">
      <c r="A77" s="10"/>
      <c r="B77" s="64"/>
      <c r="C77" s="54"/>
      <c r="D77" s="54"/>
      <c r="E77" s="60"/>
    </row>
    <row r="78" spans="1:7" ht="15.75" customHeight="1" x14ac:dyDescent="0.15">
      <c r="A78" s="10"/>
      <c r="B78" s="64"/>
      <c r="C78" s="54"/>
      <c r="D78" s="54"/>
      <c r="E78" s="60"/>
    </row>
    <row r="79" spans="1:7" ht="15.75" customHeight="1" x14ac:dyDescent="0.15">
      <c r="A79" s="10"/>
      <c r="B79" s="64"/>
      <c r="C79" s="54"/>
      <c r="D79" s="54"/>
      <c r="E79" s="60"/>
    </row>
    <row r="80" spans="1:7" ht="15.75" customHeight="1" x14ac:dyDescent="0.15">
      <c r="A80" s="10"/>
      <c r="B80" s="64"/>
      <c r="C80" s="54"/>
      <c r="D80" s="54"/>
      <c r="E80" s="60"/>
    </row>
    <row r="81" spans="1:5" ht="15.75" customHeight="1" x14ac:dyDescent="0.15">
      <c r="A81" s="11"/>
      <c r="B81" s="65"/>
      <c r="C81" s="66"/>
      <c r="D81" s="66"/>
      <c r="E81" s="61"/>
    </row>
    <row r="82" spans="1:5" ht="15.75" customHeight="1" x14ac:dyDescent="0.15"/>
    <row r="83" spans="1:5" ht="15.75" customHeight="1" x14ac:dyDescent="0.15"/>
    <row r="84" spans="1:5" ht="15.75" customHeight="1" x14ac:dyDescent="0.15"/>
    <row r="85" spans="1:5" ht="15.75" customHeight="1" x14ac:dyDescent="0.15"/>
    <row r="86" spans="1:5" ht="15.75" customHeight="1" x14ac:dyDescent="0.15"/>
    <row r="87" spans="1:5" ht="15.75" customHeight="1" x14ac:dyDescent="0.15"/>
    <row r="88" spans="1:5" ht="15.75" customHeight="1" x14ac:dyDescent="0.15"/>
    <row r="89" spans="1:5" ht="15.75" customHeight="1" x14ac:dyDescent="0.15"/>
    <row r="90" spans="1:5" ht="15.75" customHeight="1" x14ac:dyDescent="0.15"/>
    <row r="91" spans="1:5" ht="15.75" customHeight="1" x14ac:dyDescent="0.15"/>
    <row r="92" spans="1:5" ht="15.75" customHeight="1" x14ac:dyDescent="0.15"/>
    <row r="93" spans="1:5" ht="15.75" customHeight="1" x14ac:dyDescent="0.15"/>
    <row r="94" spans="1:5" ht="15.75" customHeight="1" x14ac:dyDescent="0.15"/>
    <row r="95" spans="1:5" ht="15.75" customHeight="1" x14ac:dyDescent="0.15"/>
    <row r="96" spans="1:5"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36">
    <mergeCell ref="B79:E79"/>
    <mergeCell ref="B80:E80"/>
    <mergeCell ref="B81:E81"/>
    <mergeCell ref="C58:E58"/>
    <mergeCell ref="C59:E59"/>
    <mergeCell ref="C60:E60"/>
    <mergeCell ref="C61:E61"/>
    <mergeCell ref="A65:G65"/>
    <mergeCell ref="F67:G68"/>
    <mergeCell ref="F70:G71"/>
    <mergeCell ref="B74:E74"/>
    <mergeCell ref="B75:E75"/>
    <mergeCell ref="B76:E76"/>
    <mergeCell ref="B77:E77"/>
    <mergeCell ref="B78:E78"/>
    <mergeCell ref="F49:G51"/>
    <mergeCell ref="C55:E55"/>
    <mergeCell ref="F55:G56"/>
    <mergeCell ref="C56:E56"/>
    <mergeCell ref="C57:E57"/>
    <mergeCell ref="D40:E40"/>
    <mergeCell ref="D41:E41"/>
    <mergeCell ref="D42:E42"/>
    <mergeCell ref="D43:E43"/>
    <mergeCell ref="A47:G47"/>
    <mergeCell ref="F28:G30"/>
    <mergeCell ref="A36:G36"/>
    <mergeCell ref="D37:E37"/>
    <mergeCell ref="D38:E38"/>
    <mergeCell ref="F38:G39"/>
    <mergeCell ref="D39:E39"/>
    <mergeCell ref="A1:G1"/>
    <mergeCell ref="A10:D12"/>
    <mergeCell ref="A14:G14"/>
    <mergeCell ref="F16:G19"/>
    <mergeCell ref="A26:G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defaultColWidth="12.67578125" defaultRowHeight="15" customHeight="1" x14ac:dyDescent="0.15"/>
  <cols>
    <col min="1" max="6" width="12.67578125" customWidth="1"/>
  </cols>
  <sheetData>
    <row r="1" spans="1:8" ht="15.75" customHeight="1" x14ac:dyDescent="0.2">
      <c r="A1" s="53" t="s">
        <v>66</v>
      </c>
      <c r="B1" s="54"/>
      <c r="C1" s="54"/>
      <c r="D1" s="54"/>
      <c r="E1" s="54"/>
      <c r="F1" s="54"/>
      <c r="G1" s="54"/>
      <c r="H1" s="54"/>
    </row>
    <row r="2" spans="1:8" ht="15.75" customHeight="1" x14ac:dyDescent="0.15">
      <c r="A2" s="22" t="s">
        <v>67</v>
      </c>
      <c r="B2" s="23" t="s">
        <v>68</v>
      </c>
      <c r="C2" s="23" t="s">
        <v>69</v>
      </c>
      <c r="D2" s="23" t="s">
        <v>70</v>
      </c>
      <c r="E2" s="24" t="s">
        <v>71</v>
      </c>
      <c r="F2" s="24" t="s">
        <v>72</v>
      </c>
      <c r="G2" s="25" t="s">
        <v>73</v>
      </c>
    </row>
    <row r="3" spans="1:8" ht="15.75" customHeight="1" x14ac:dyDescent="0.15">
      <c r="A3" s="10" t="s">
        <v>45</v>
      </c>
      <c r="B3" s="5">
        <v>12</v>
      </c>
      <c r="G3" s="16"/>
      <c r="H3" s="56" t="s">
        <v>74</v>
      </c>
    </row>
    <row r="4" spans="1:8" ht="15.75" customHeight="1" x14ac:dyDescent="0.15">
      <c r="A4" s="10" t="s">
        <v>50</v>
      </c>
      <c r="B4" s="5">
        <v>6</v>
      </c>
      <c r="G4" s="16"/>
      <c r="H4" s="54"/>
    </row>
    <row r="5" spans="1:8" ht="15.75" customHeight="1" x14ac:dyDescent="0.15">
      <c r="A5" s="10" t="s">
        <v>75</v>
      </c>
      <c r="B5" s="5">
        <v>8</v>
      </c>
      <c r="G5" s="16"/>
      <c r="H5" s="54"/>
    </row>
    <row r="6" spans="1:8" ht="15.75" customHeight="1" x14ac:dyDescent="0.15">
      <c r="A6" s="10"/>
      <c r="G6" s="16"/>
      <c r="H6" s="54"/>
    </row>
    <row r="7" spans="1:8" ht="15.75" customHeight="1" x14ac:dyDescent="0.15">
      <c r="A7" s="10"/>
      <c r="G7" s="16"/>
      <c r="H7" s="54"/>
    </row>
    <row r="8" spans="1:8" ht="15.75" customHeight="1" x14ac:dyDescent="0.15">
      <c r="A8" s="10"/>
      <c r="G8" s="16"/>
    </row>
    <row r="9" spans="1:8" ht="15.75" customHeight="1" x14ac:dyDescent="0.15">
      <c r="A9" s="11"/>
      <c r="B9" s="18"/>
      <c r="C9" s="18"/>
      <c r="D9" s="18"/>
      <c r="E9" s="18"/>
      <c r="F9" s="18"/>
      <c r="G9" s="19"/>
    </row>
    <row r="10" spans="1:8" ht="15.75" customHeight="1" x14ac:dyDescent="0.15"/>
    <row r="11" spans="1:8" ht="15.75" customHeight="1" x14ac:dyDescent="0.2">
      <c r="A11" s="53" t="s">
        <v>76</v>
      </c>
      <c r="B11" s="54"/>
      <c r="C11" s="54"/>
      <c r="D11" s="54"/>
      <c r="E11" s="54"/>
      <c r="F11" s="54"/>
      <c r="G11" s="54"/>
      <c r="H11" s="54"/>
    </row>
    <row r="12" spans="1:8" ht="15.75" customHeight="1" x14ac:dyDescent="0.15">
      <c r="A12" s="67" t="s">
        <v>77</v>
      </c>
      <c r="B12" s="54"/>
      <c r="C12" s="54"/>
      <c r="G12" s="56" t="s">
        <v>78</v>
      </c>
      <c r="H12" s="54"/>
    </row>
    <row r="13" spans="1:8" ht="15.75" customHeight="1" x14ac:dyDescent="0.15">
      <c r="G13" s="54"/>
      <c r="H13" s="54"/>
    </row>
    <row r="14" spans="1:8" ht="15.75" customHeight="1" x14ac:dyDescent="0.15">
      <c r="G14" s="54"/>
      <c r="H14" s="54"/>
    </row>
    <row r="15" spans="1:8" ht="15.75" customHeight="1" x14ac:dyDescent="0.15">
      <c r="A15" s="26" t="s">
        <v>79</v>
      </c>
      <c r="B15" s="27" t="s">
        <v>80</v>
      </c>
      <c r="C15" s="27" t="s">
        <v>81</v>
      </c>
      <c r="D15" s="27" t="s">
        <v>82</v>
      </c>
      <c r="E15" s="28" t="s">
        <v>83</v>
      </c>
      <c r="G15" s="54"/>
      <c r="H15" s="54"/>
    </row>
    <row r="16" spans="1:8" ht="15.75" customHeight="1" x14ac:dyDescent="0.15">
      <c r="A16" s="10" t="s">
        <v>84</v>
      </c>
      <c r="B16" s="5" t="s">
        <v>85</v>
      </c>
      <c r="C16" s="5" t="s">
        <v>86</v>
      </c>
      <c r="D16" s="5" t="s">
        <v>87</v>
      </c>
      <c r="E16" s="29"/>
      <c r="G16" s="54"/>
      <c r="H16" s="54"/>
    </row>
    <row r="17" spans="1:8" ht="15.75" customHeight="1" x14ac:dyDescent="0.15">
      <c r="A17" s="10" t="s">
        <v>88</v>
      </c>
      <c r="E17" s="29"/>
      <c r="G17" s="54"/>
      <c r="H17" s="54"/>
    </row>
    <row r="18" spans="1:8" ht="15.75" customHeight="1" x14ac:dyDescent="0.15">
      <c r="A18" s="10" t="s">
        <v>89</v>
      </c>
      <c r="E18" s="29"/>
      <c r="G18" s="54"/>
      <c r="H18" s="54"/>
    </row>
    <row r="19" spans="1:8" ht="15.75" customHeight="1" x14ac:dyDescent="0.15">
      <c r="A19" s="10" t="s">
        <v>90</v>
      </c>
      <c r="E19" s="29"/>
    </row>
    <row r="20" spans="1:8" ht="15.75" customHeight="1" x14ac:dyDescent="0.15">
      <c r="A20" s="10" t="s">
        <v>91</v>
      </c>
      <c r="E20" s="29"/>
    </row>
    <row r="21" spans="1:8" ht="15.75" customHeight="1" x14ac:dyDescent="0.15">
      <c r="A21" s="11"/>
      <c r="B21" s="30"/>
      <c r="C21" s="30"/>
      <c r="D21" s="30"/>
      <c r="E21" s="31"/>
    </row>
    <row r="22" spans="1:8" ht="15.75" customHeight="1" x14ac:dyDescent="0.15"/>
    <row r="23" spans="1:8" ht="15.75" customHeight="1" x14ac:dyDescent="0.15"/>
    <row r="24" spans="1:8" ht="15.75" customHeight="1" x14ac:dyDescent="0.15">
      <c r="A24" s="67" t="s">
        <v>92</v>
      </c>
      <c r="B24" s="54"/>
      <c r="C24" s="54"/>
    </row>
    <row r="25" spans="1:8" ht="15.75" customHeight="1" x14ac:dyDescent="0.15">
      <c r="A25" s="54"/>
      <c r="B25" s="54"/>
      <c r="C25" s="54"/>
    </row>
    <row r="26" spans="1:8" ht="15.75" customHeight="1" x14ac:dyDescent="0.15"/>
    <row r="27" spans="1:8" ht="15.75" customHeight="1" x14ac:dyDescent="0.15">
      <c r="A27" s="26" t="s">
        <v>79</v>
      </c>
      <c r="B27" s="27" t="s">
        <v>93</v>
      </c>
      <c r="C27" s="27" t="s">
        <v>94</v>
      </c>
      <c r="D27" s="27" t="s">
        <v>95</v>
      </c>
      <c r="E27" s="27" t="s">
        <v>96</v>
      </c>
      <c r="F27" s="28" t="s">
        <v>97</v>
      </c>
      <c r="H27" s="56" t="s">
        <v>98</v>
      </c>
    </row>
    <row r="28" spans="1:8" ht="15.75" customHeight="1" x14ac:dyDescent="0.15">
      <c r="A28" s="10" t="s">
        <v>84</v>
      </c>
      <c r="B28" s="5" t="s">
        <v>99</v>
      </c>
      <c r="C28" s="5" t="s">
        <v>100</v>
      </c>
      <c r="D28" s="5" t="s">
        <v>101</v>
      </c>
      <c r="E28" s="5" t="s">
        <v>87</v>
      </c>
      <c r="F28" s="29"/>
      <c r="H28" s="54"/>
    </row>
    <row r="29" spans="1:8" ht="15.75" customHeight="1" x14ac:dyDescent="0.15">
      <c r="A29" s="10" t="s">
        <v>88</v>
      </c>
      <c r="F29" s="29"/>
      <c r="H29" s="54"/>
    </row>
    <row r="30" spans="1:8" ht="15.75" customHeight="1" x14ac:dyDescent="0.15">
      <c r="A30" s="10" t="s">
        <v>89</v>
      </c>
      <c r="F30" s="29"/>
      <c r="H30" s="54"/>
    </row>
    <row r="31" spans="1:8" ht="15.75" customHeight="1" x14ac:dyDescent="0.15">
      <c r="A31" s="10" t="s">
        <v>90</v>
      </c>
      <c r="F31" s="29"/>
      <c r="H31" s="54"/>
    </row>
    <row r="32" spans="1:8" ht="15.75" customHeight="1" x14ac:dyDescent="0.15">
      <c r="A32" s="10" t="s">
        <v>91</v>
      </c>
      <c r="F32" s="29"/>
      <c r="H32" s="54"/>
    </row>
    <row r="33" spans="1:8" ht="15.75" customHeight="1" x14ac:dyDescent="0.15">
      <c r="A33" s="11"/>
      <c r="B33" s="30"/>
      <c r="C33" s="30"/>
      <c r="D33" s="30"/>
      <c r="E33" s="30"/>
      <c r="F33" s="31"/>
      <c r="H33" s="54"/>
    </row>
    <row r="34" spans="1:8" ht="15.75" customHeight="1" x14ac:dyDescent="0.15">
      <c r="H34" s="54"/>
    </row>
    <row r="35" spans="1:8" ht="15.75" customHeight="1" x14ac:dyDescent="0.15"/>
    <row r="36" spans="1:8" ht="15.75" customHeight="1" x14ac:dyDescent="0.15">
      <c r="A36" s="56" t="s">
        <v>102</v>
      </c>
      <c r="B36" s="54"/>
      <c r="C36" s="54"/>
    </row>
    <row r="37" spans="1:8" ht="15.75" customHeight="1" x14ac:dyDescent="0.15">
      <c r="A37" s="54"/>
      <c r="B37" s="54"/>
      <c r="C37" s="54"/>
      <c r="H37" s="56" t="s">
        <v>103</v>
      </c>
    </row>
    <row r="38" spans="1:8" ht="15.75" customHeight="1" x14ac:dyDescent="0.15">
      <c r="A38" s="54"/>
      <c r="B38" s="54"/>
      <c r="C38" s="54"/>
      <c r="H38" s="54"/>
    </row>
    <row r="39" spans="1:8" ht="15.75" customHeight="1" x14ac:dyDescent="0.15">
      <c r="H39" s="54"/>
    </row>
    <row r="40" spans="1:8" ht="15.75" customHeight="1" x14ac:dyDescent="0.15">
      <c r="A40" s="26" t="s">
        <v>79</v>
      </c>
      <c r="B40" s="27" t="s">
        <v>83</v>
      </c>
      <c r="C40" s="27" t="s">
        <v>97</v>
      </c>
      <c r="D40" s="26" t="s">
        <v>104</v>
      </c>
      <c r="E40" s="28" t="s">
        <v>105</v>
      </c>
      <c r="F40" s="32"/>
      <c r="H40" s="54"/>
    </row>
    <row r="41" spans="1:8" ht="15.75" customHeight="1" x14ac:dyDescent="0.15">
      <c r="A41" s="10" t="s">
        <v>84</v>
      </c>
      <c r="B41" s="5" t="s">
        <v>106</v>
      </c>
      <c r="C41" s="5" t="s">
        <v>107</v>
      </c>
      <c r="E41" s="16"/>
      <c r="H41" s="54"/>
    </row>
    <row r="42" spans="1:8" ht="15.75" customHeight="1" x14ac:dyDescent="0.15">
      <c r="A42" s="10" t="s">
        <v>88</v>
      </c>
      <c r="E42" s="16"/>
      <c r="H42" s="54"/>
    </row>
    <row r="43" spans="1:8" ht="15.75" customHeight="1" x14ac:dyDescent="0.15">
      <c r="A43" s="10" t="s">
        <v>89</v>
      </c>
      <c r="E43" s="16"/>
      <c r="H43" s="54"/>
    </row>
    <row r="44" spans="1:8" ht="15.75" customHeight="1" x14ac:dyDescent="0.15">
      <c r="A44" s="10" t="s">
        <v>90</v>
      </c>
      <c r="E44" s="16"/>
      <c r="H44" s="54"/>
    </row>
    <row r="45" spans="1:8" ht="15.75" customHeight="1" x14ac:dyDescent="0.15">
      <c r="A45" s="11" t="s">
        <v>91</v>
      </c>
      <c r="B45" s="18"/>
      <c r="C45" s="18"/>
      <c r="D45" s="18"/>
      <c r="E45" s="19"/>
      <c r="H45" s="54"/>
    </row>
    <row r="46" spans="1:8" ht="15.75" customHeight="1" x14ac:dyDescent="0.15"/>
    <row r="47" spans="1:8" ht="15.75" customHeight="1" x14ac:dyDescent="0.15"/>
    <row r="48" spans="1: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9">
    <mergeCell ref="H27:H34"/>
    <mergeCell ref="H37:H45"/>
    <mergeCell ref="A1:H1"/>
    <mergeCell ref="H3:H7"/>
    <mergeCell ref="A11:H11"/>
    <mergeCell ref="A12:C12"/>
    <mergeCell ref="G12:H18"/>
    <mergeCell ref="A24:C25"/>
    <mergeCell ref="A36:C3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000"/>
  <sheetViews>
    <sheetView workbookViewId="0"/>
  </sheetViews>
  <sheetFormatPr defaultColWidth="12.67578125" defaultRowHeight="15" customHeight="1" x14ac:dyDescent="0.15"/>
  <cols>
    <col min="1" max="3" width="12.67578125" customWidth="1"/>
    <col min="4" max="4" width="19.6875" customWidth="1"/>
    <col min="5" max="5" width="32.2265625" customWidth="1"/>
    <col min="6" max="6" width="34.1171875" customWidth="1"/>
    <col min="7" max="7" width="34.25" customWidth="1"/>
    <col min="8" max="8" width="29.26171875" customWidth="1"/>
  </cols>
  <sheetData>
    <row r="1" spans="1:14" ht="15.75" customHeight="1" x14ac:dyDescent="0.2">
      <c r="A1" s="53" t="s">
        <v>108</v>
      </c>
      <c r="B1" s="54"/>
      <c r="C1" s="54"/>
      <c r="D1" s="54"/>
      <c r="E1" s="54"/>
      <c r="F1" s="54"/>
      <c r="G1" s="54"/>
      <c r="H1" s="54"/>
      <c r="I1" s="54"/>
      <c r="J1" s="54"/>
      <c r="K1" s="54"/>
    </row>
    <row r="2" spans="1:14" ht="15.75" customHeight="1" x14ac:dyDescent="0.15">
      <c r="A2" s="26" t="s">
        <v>67</v>
      </c>
      <c r="B2" s="27" t="s">
        <v>68</v>
      </c>
      <c r="C2" s="27" t="s">
        <v>109</v>
      </c>
      <c r="D2" s="28" t="s">
        <v>110</v>
      </c>
      <c r="E2" s="26" t="s">
        <v>111</v>
      </c>
      <c r="F2" s="27" t="s">
        <v>112</v>
      </c>
      <c r="G2" s="27" t="s">
        <v>113</v>
      </c>
      <c r="H2" s="28" t="s">
        <v>114</v>
      </c>
      <c r="I2" s="33"/>
    </row>
    <row r="3" spans="1:14" ht="15.75" customHeight="1" x14ac:dyDescent="0.15">
      <c r="A3" s="10" t="s">
        <v>45</v>
      </c>
      <c r="B3" s="5">
        <v>85</v>
      </c>
      <c r="C3" s="5">
        <v>78</v>
      </c>
      <c r="D3" s="16">
        <v>90</v>
      </c>
      <c r="E3" s="10"/>
      <c r="H3" s="16"/>
      <c r="J3" s="68" t="s">
        <v>115</v>
      </c>
      <c r="K3" s="54"/>
      <c r="L3" s="54"/>
      <c r="M3" s="54"/>
      <c r="N3" s="54"/>
    </row>
    <row r="4" spans="1:14" ht="15.75" customHeight="1" x14ac:dyDescent="0.15">
      <c r="A4" s="10" t="s">
        <v>50</v>
      </c>
      <c r="B4" s="5">
        <v>45</v>
      </c>
      <c r="C4" s="5">
        <v>65</v>
      </c>
      <c r="D4" s="16">
        <v>55</v>
      </c>
      <c r="E4" s="10"/>
      <c r="H4" s="16"/>
      <c r="J4" s="54"/>
      <c r="K4" s="54"/>
      <c r="L4" s="54"/>
      <c r="M4" s="54"/>
      <c r="N4" s="54"/>
    </row>
    <row r="5" spans="1:14" ht="15.75" customHeight="1" x14ac:dyDescent="0.15">
      <c r="A5" s="10" t="s">
        <v>75</v>
      </c>
      <c r="B5" s="5">
        <v>92</v>
      </c>
      <c r="C5" s="5">
        <v>89</v>
      </c>
      <c r="D5" s="16">
        <v>88</v>
      </c>
      <c r="E5" s="10"/>
      <c r="H5" s="16"/>
      <c r="J5" s="54"/>
      <c r="K5" s="54"/>
      <c r="L5" s="54"/>
      <c r="M5" s="54"/>
      <c r="N5" s="54"/>
    </row>
    <row r="6" spans="1:14" ht="15.75" customHeight="1" x14ac:dyDescent="0.15">
      <c r="A6" s="10" t="s">
        <v>116</v>
      </c>
      <c r="B6" s="5">
        <v>70</v>
      </c>
      <c r="C6" s="5">
        <v>50</v>
      </c>
      <c r="D6" s="16">
        <v>40</v>
      </c>
      <c r="E6" s="10"/>
      <c r="H6" s="16"/>
      <c r="J6" s="54"/>
      <c r="K6" s="54"/>
      <c r="L6" s="54"/>
      <c r="M6" s="54"/>
      <c r="N6" s="54"/>
    </row>
    <row r="7" spans="1:14" ht="15.75" customHeight="1" x14ac:dyDescent="0.15">
      <c r="A7" s="10"/>
      <c r="D7" s="16"/>
      <c r="E7" s="10"/>
      <c r="H7" s="16"/>
      <c r="J7" s="54"/>
      <c r="K7" s="54"/>
      <c r="L7" s="54"/>
      <c r="M7" s="54"/>
      <c r="N7" s="54"/>
    </row>
    <row r="8" spans="1:14" ht="15.75" customHeight="1" x14ac:dyDescent="0.15">
      <c r="A8" s="10"/>
      <c r="D8" s="16"/>
      <c r="E8" s="10"/>
      <c r="H8" s="16"/>
      <c r="J8" s="54"/>
      <c r="K8" s="54"/>
      <c r="L8" s="54"/>
      <c r="M8" s="54"/>
      <c r="N8" s="54"/>
    </row>
    <row r="9" spans="1:14" ht="15.75" customHeight="1" x14ac:dyDescent="0.15">
      <c r="A9" s="10"/>
      <c r="D9" s="16"/>
      <c r="E9" s="10"/>
      <c r="H9" s="16"/>
      <c r="J9" s="54"/>
      <c r="K9" s="54"/>
      <c r="L9" s="54"/>
      <c r="M9" s="54"/>
      <c r="N9" s="54"/>
    </row>
    <row r="10" spans="1:14" ht="15.75" customHeight="1" x14ac:dyDescent="0.15">
      <c r="A10" s="11"/>
      <c r="B10" s="18"/>
      <c r="C10" s="18"/>
      <c r="D10" s="19"/>
      <c r="E10" s="11"/>
      <c r="F10" s="18"/>
      <c r="G10" s="18"/>
      <c r="H10" s="19"/>
      <c r="J10" s="54"/>
      <c r="K10" s="54"/>
      <c r="L10" s="54"/>
      <c r="M10" s="54"/>
      <c r="N10" s="54"/>
    </row>
    <row r="11" spans="1:14" ht="15.75" customHeight="1" x14ac:dyDescent="0.15">
      <c r="J11" s="54"/>
      <c r="K11" s="54"/>
      <c r="L11" s="54"/>
      <c r="M11" s="54"/>
      <c r="N11" s="54"/>
    </row>
    <row r="12" spans="1:14" ht="15.75" customHeight="1" x14ac:dyDescent="0.15">
      <c r="J12" s="34"/>
      <c r="K12" s="34"/>
      <c r="L12" s="34"/>
      <c r="M12" s="34"/>
      <c r="N12" s="34"/>
    </row>
    <row r="13" spans="1:14" ht="15.75" customHeight="1" x14ac:dyDescent="0.15">
      <c r="J13" s="34"/>
      <c r="K13" s="34"/>
      <c r="L13" s="34"/>
      <c r="M13" s="34"/>
      <c r="N13" s="34"/>
    </row>
    <row r="14" spans="1:14" ht="15.75" customHeight="1" x14ac:dyDescent="0.15">
      <c r="J14" s="34"/>
      <c r="K14" s="34"/>
      <c r="L14" s="34"/>
      <c r="M14" s="34"/>
      <c r="N14" s="34"/>
    </row>
    <row r="15" spans="1:14" ht="15.75" customHeight="1" x14ac:dyDescent="0.15">
      <c r="E15" s="56" t="s">
        <v>117</v>
      </c>
      <c r="F15" s="69" t="s">
        <v>118</v>
      </c>
      <c r="G15" s="70" t="s">
        <v>119</v>
      </c>
      <c r="H15" s="71" t="s">
        <v>120</v>
      </c>
    </row>
    <row r="16" spans="1:14" ht="15.75" customHeight="1" x14ac:dyDescent="0.15">
      <c r="E16" s="54"/>
      <c r="F16" s="54"/>
      <c r="G16" s="54"/>
      <c r="H16" s="54"/>
    </row>
    <row r="17" spans="1:9" ht="15.75" customHeight="1" x14ac:dyDescent="0.15">
      <c r="E17" s="54"/>
      <c r="F17" s="54"/>
      <c r="G17" s="54"/>
      <c r="H17" s="54"/>
    </row>
    <row r="18" spans="1:9" ht="15.75" customHeight="1" x14ac:dyDescent="0.15">
      <c r="E18" s="54"/>
      <c r="F18" s="54"/>
      <c r="G18" s="54"/>
      <c r="H18" s="54"/>
    </row>
    <row r="19" spans="1:9" ht="15.75" customHeight="1" x14ac:dyDescent="0.15">
      <c r="E19" s="54"/>
      <c r="F19" s="54"/>
      <c r="G19" s="54"/>
      <c r="H19" s="54"/>
    </row>
    <row r="20" spans="1:9" ht="15.75" customHeight="1" x14ac:dyDescent="0.15">
      <c r="E20" s="54"/>
      <c r="F20" s="54"/>
      <c r="G20" s="54"/>
      <c r="H20" s="54"/>
    </row>
    <row r="21" spans="1:9" ht="15.75" customHeight="1" x14ac:dyDescent="0.15">
      <c r="E21" s="54"/>
      <c r="F21" s="54"/>
      <c r="G21" s="54"/>
      <c r="H21" s="54"/>
    </row>
    <row r="22" spans="1:9" ht="15.75" customHeight="1" x14ac:dyDescent="0.15">
      <c r="E22" s="54"/>
      <c r="F22" s="54"/>
      <c r="G22" s="54"/>
      <c r="H22" s="54"/>
    </row>
    <row r="23" spans="1:9" ht="15.75" customHeight="1" x14ac:dyDescent="0.15">
      <c r="E23" s="54"/>
      <c r="F23" s="54"/>
      <c r="G23" s="54"/>
      <c r="H23" s="54"/>
    </row>
    <row r="24" spans="1:9" ht="15.75" customHeight="1" x14ac:dyDescent="0.15">
      <c r="E24" s="54"/>
      <c r="F24" s="54"/>
      <c r="G24" s="54"/>
      <c r="H24" s="54"/>
    </row>
    <row r="25" spans="1:9" ht="15.75" customHeight="1" x14ac:dyDescent="0.15"/>
    <row r="26" spans="1:9" ht="15.75" customHeight="1" x14ac:dyDescent="0.15"/>
    <row r="27" spans="1:9" ht="15.75" customHeight="1" x14ac:dyDescent="0.15"/>
    <row r="28" spans="1:9" ht="15.75" customHeight="1" x14ac:dyDescent="0.2">
      <c r="A28" s="53" t="s">
        <v>121</v>
      </c>
      <c r="B28" s="54"/>
      <c r="C28" s="54"/>
      <c r="D28" s="54"/>
      <c r="E28" s="54"/>
      <c r="F28" s="54"/>
      <c r="G28" s="54"/>
      <c r="H28" s="54"/>
      <c r="I28" s="54"/>
    </row>
    <row r="29" spans="1:9" ht="15.75" customHeight="1" x14ac:dyDescent="0.15">
      <c r="A29" s="36" t="s">
        <v>79</v>
      </c>
      <c r="B29" s="36" t="s">
        <v>122</v>
      </c>
      <c r="C29" s="36" t="s">
        <v>123</v>
      </c>
      <c r="D29" s="36" t="s">
        <v>124</v>
      </c>
      <c r="E29" s="36" t="s">
        <v>125</v>
      </c>
      <c r="F29" s="36" t="s">
        <v>126</v>
      </c>
    </row>
    <row r="30" spans="1:9" ht="15.75" customHeight="1" x14ac:dyDescent="0.15">
      <c r="A30" s="5" t="s">
        <v>84</v>
      </c>
      <c r="B30" s="5">
        <v>99000</v>
      </c>
      <c r="C30" s="37">
        <v>80000</v>
      </c>
      <c r="D30" s="38"/>
    </row>
    <row r="31" spans="1:9" ht="15.75" customHeight="1" x14ac:dyDescent="0.15">
      <c r="A31" s="5" t="s">
        <v>88</v>
      </c>
      <c r="B31" s="5">
        <v>98000</v>
      </c>
      <c r="C31" s="37">
        <v>95000</v>
      </c>
    </row>
    <row r="32" spans="1:9" ht="15.75" customHeight="1" x14ac:dyDescent="0.15">
      <c r="A32" s="5" t="s">
        <v>89</v>
      </c>
      <c r="B32" s="5">
        <v>12000</v>
      </c>
      <c r="C32" s="37">
        <v>85000</v>
      </c>
    </row>
    <row r="33" spans="2:6" ht="15.75" customHeight="1" x14ac:dyDescent="0.15">
      <c r="B33" s="39"/>
      <c r="C33" s="39"/>
      <c r="D33" s="39"/>
      <c r="E33" s="39"/>
      <c r="F33" s="39"/>
    </row>
    <row r="34" spans="2:6" ht="15.75" customHeight="1" x14ac:dyDescent="0.15">
      <c r="D34" s="7" t="s">
        <v>127</v>
      </c>
      <c r="E34" s="35" t="s">
        <v>128</v>
      </c>
      <c r="F34" s="40" t="s">
        <v>129</v>
      </c>
    </row>
    <row r="35" spans="2:6" ht="15.75" customHeight="1" x14ac:dyDescent="0.15"/>
    <row r="36" spans="2:6" ht="15.75" customHeight="1" x14ac:dyDescent="0.15"/>
    <row r="37" spans="2:6" ht="15.75" customHeight="1" x14ac:dyDescent="0.15"/>
    <row r="38" spans="2:6" ht="15.75" customHeight="1" x14ac:dyDescent="0.15"/>
    <row r="39" spans="2:6" ht="15.75" customHeight="1" x14ac:dyDescent="0.15"/>
    <row r="40" spans="2:6" ht="15.75" customHeight="1" x14ac:dyDescent="0.15"/>
    <row r="41" spans="2:6" ht="15.75" customHeight="1" x14ac:dyDescent="0.15"/>
    <row r="42" spans="2:6" ht="15.75" customHeight="1" x14ac:dyDescent="0.15"/>
    <row r="43" spans="2:6" ht="15.75" customHeight="1" x14ac:dyDescent="0.15"/>
    <row r="44" spans="2:6" ht="15.75" customHeight="1" x14ac:dyDescent="0.15"/>
    <row r="45" spans="2:6" ht="15.75" customHeight="1" x14ac:dyDescent="0.15"/>
    <row r="46" spans="2:6" ht="15.75" customHeight="1" x14ac:dyDescent="0.15"/>
    <row r="47" spans="2:6" ht="15.75" customHeight="1" x14ac:dyDescent="0.15"/>
    <row r="48" spans="2:6"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7">
    <mergeCell ref="A28:I28"/>
    <mergeCell ref="A1:K1"/>
    <mergeCell ref="J3:N11"/>
    <mergeCell ref="E15:E24"/>
    <mergeCell ref="F15:F24"/>
    <mergeCell ref="G15:G24"/>
    <mergeCell ref="H15:H2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defaultColWidth="12.67578125" defaultRowHeight="15" customHeight="1" x14ac:dyDescent="0.15"/>
  <cols>
    <col min="1" max="1" width="12.67578125" customWidth="1"/>
    <col min="2" max="2" width="17.2578125" customWidth="1"/>
    <col min="3" max="3" width="29.125" customWidth="1"/>
    <col min="4" max="4" width="24.8125" customWidth="1"/>
    <col min="5" max="5" width="29.80078125" customWidth="1"/>
    <col min="6" max="6" width="30.0703125" customWidth="1"/>
    <col min="7" max="7" width="25.890625" customWidth="1"/>
    <col min="8" max="8" width="30.33984375" customWidth="1"/>
  </cols>
  <sheetData>
    <row r="1" spans="1:8" ht="15.75" customHeight="1" x14ac:dyDescent="0.2">
      <c r="A1" s="53" t="s">
        <v>130</v>
      </c>
      <c r="B1" s="54"/>
      <c r="C1" s="54"/>
      <c r="D1" s="54"/>
      <c r="E1" s="54"/>
      <c r="F1" s="54"/>
      <c r="G1" s="54"/>
      <c r="H1" s="54"/>
    </row>
    <row r="2" spans="1:8" ht="15.75" customHeight="1" x14ac:dyDescent="0.15">
      <c r="A2" s="41" t="s">
        <v>131</v>
      </c>
      <c r="B2" s="41" t="s">
        <v>132</v>
      </c>
      <c r="C2" s="41" t="s">
        <v>133</v>
      </c>
      <c r="D2" s="41" t="s">
        <v>134</v>
      </c>
      <c r="E2" s="41" t="s">
        <v>135</v>
      </c>
      <c r="F2" s="41" t="s">
        <v>136</v>
      </c>
      <c r="G2" s="41" t="s">
        <v>137</v>
      </c>
      <c r="H2" s="41" t="s">
        <v>138</v>
      </c>
    </row>
    <row r="3" spans="1:8" ht="15.75" customHeight="1" x14ac:dyDescent="0.15">
      <c r="A3" s="5" t="s">
        <v>45</v>
      </c>
      <c r="B3" s="42">
        <v>45424</v>
      </c>
    </row>
    <row r="4" spans="1:8" ht="15.75" customHeight="1" x14ac:dyDescent="0.15">
      <c r="A4" s="5" t="s">
        <v>50</v>
      </c>
      <c r="B4" s="42">
        <v>45515</v>
      </c>
    </row>
    <row r="5" spans="1:8" ht="15.75" customHeight="1" x14ac:dyDescent="0.15">
      <c r="A5" s="5" t="s">
        <v>75</v>
      </c>
      <c r="B5" s="42">
        <v>45335</v>
      </c>
    </row>
    <row r="6" spans="1:8" ht="15.75" customHeight="1" x14ac:dyDescent="0.15">
      <c r="A6" s="5" t="s">
        <v>45</v>
      </c>
      <c r="B6" s="42">
        <v>45424</v>
      </c>
    </row>
    <row r="7" spans="1:8" ht="15.75" customHeight="1" x14ac:dyDescent="0.15">
      <c r="A7" s="5" t="s">
        <v>139</v>
      </c>
      <c r="B7" s="42">
        <v>45423</v>
      </c>
    </row>
    <row r="8" spans="1:8" ht="15.75" customHeight="1" x14ac:dyDescent="0.15">
      <c r="A8" s="5" t="s">
        <v>140</v>
      </c>
      <c r="B8" s="42">
        <v>45516</v>
      </c>
    </row>
    <row r="9" spans="1:8" ht="15.75" customHeight="1" x14ac:dyDescent="0.15">
      <c r="A9" s="5" t="s">
        <v>141</v>
      </c>
      <c r="B9" s="43" t="s">
        <v>142</v>
      </c>
    </row>
    <row r="10" spans="1:8" ht="15.75" customHeight="1" x14ac:dyDescent="0.15">
      <c r="A10" s="5" t="s">
        <v>143</v>
      </c>
      <c r="B10" s="42">
        <v>45333</v>
      </c>
    </row>
    <row r="11" spans="1:8" ht="15.75" customHeight="1" x14ac:dyDescent="0.25">
      <c r="A11" s="72" t="s">
        <v>144</v>
      </c>
      <c r="B11" s="54"/>
      <c r="C11" s="54"/>
      <c r="D11" s="54"/>
      <c r="E11" s="54"/>
    </row>
    <row r="12" spans="1:8" ht="15.75" customHeight="1" x14ac:dyDescent="0.15"/>
    <row r="13" spans="1:8" ht="15.75" customHeight="1" x14ac:dyDescent="0.15"/>
    <row r="14" spans="1:8" ht="15.75" customHeight="1" x14ac:dyDescent="0.2">
      <c r="A14" s="53" t="s">
        <v>145</v>
      </c>
      <c r="B14" s="54"/>
      <c r="C14" s="54"/>
      <c r="D14" s="54"/>
      <c r="E14" s="54"/>
      <c r="F14" s="54"/>
      <c r="G14" s="54"/>
      <c r="H14" s="54"/>
    </row>
    <row r="15" spans="1:8" ht="15.75" customHeight="1" x14ac:dyDescent="0.15">
      <c r="A15" s="44" t="s">
        <v>146</v>
      </c>
      <c r="B15" s="44" t="s">
        <v>147</v>
      </c>
      <c r="C15" s="44" t="s">
        <v>148</v>
      </c>
      <c r="D15" s="44" t="s">
        <v>149</v>
      </c>
      <c r="E15" s="44" t="s">
        <v>150</v>
      </c>
      <c r="F15" s="44" t="s">
        <v>151</v>
      </c>
      <c r="G15" s="44" t="s">
        <v>152</v>
      </c>
      <c r="H15" s="44" t="s">
        <v>153</v>
      </c>
    </row>
    <row r="16" spans="1:8" ht="15.75" customHeight="1" x14ac:dyDescent="0.15">
      <c r="A16" s="5" t="s">
        <v>68</v>
      </c>
      <c r="B16" s="5">
        <v>15</v>
      </c>
    </row>
    <row r="17" spans="1:4" ht="15.75" customHeight="1" x14ac:dyDescent="0.15">
      <c r="A17" s="5" t="s">
        <v>109</v>
      </c>
      <c r="B17" s="5">
        <v>12</v>
      </c>
    </row>
    <row r="18" spans="1:4" ht="15.75" customHeight="1" x14ac:dyDescent="0.15">
      <c r="A18" s="5" t="s">
        <v>154</v>
      </c>
      <c r="B18" s="5">
        <v>18</v>
      </c>
    </row>
    <row r="19" spans="1:4" ht="15.75" customHeight="1" x14ac:dyDescent="0.15">
      <c r="A19" s="5" t="s">
        <v>155</v>
      </c>
      <c r="B19" s="5">
        <v>10</v>
      </c>
    </row>
    <row r="20" spans="1:4" ht="15.75" customHeight="1" x14ac:dyDescent="0.15">
      <c r="A20" s="5" t="s">
        <v>110</v>
      </c>
      <c r="B20" s="5">
        <v>8</v>
      </c>
    </row>
    <row r="21" spans="1:4" ht="15.75" customHeight="1" x14ac:dyDescent="0.15">
      <c r="A21" s="5" t="s">
        <v>69</v>
      </c>
      <c r="B21" s="5">
        <v>20</v>
      </c>
    </row>
    <row r="22" spans="1:4" ht="15.75" customHeight="1" x14ac:dyDescent="0.15">
      <c r="A22" s="5" t="s">
        <v>156</v>
      </c>
      <c r="B22" s="5">
        <v>17</v>
      </c>
    </row>
    <row r="23" spans="1:4" ht="15.75" customHeight="1" x14ac:dyDescent="0.15">
      <c r="A23" s="5" t="s">
        <v>157</v>
      </c>
      <c r="B23" s="5">
        <v>18</v>
      </c>
    </row>
    <row r="24" spans="1:4" ht="15.75" customHeight="1" x14ac:dyDescent="0.25">
      <c r="A24" s="72" t="s">
        <v>144</v>
      </c>
      <c r="B24" s="54"/>
      <c r="C24" s="54"/>
      <c r="D24" s="54"/>
    </row>
    <row r="25" spans="1:4" ht="15.75" customHeight="1" x14ac:dyDescent="0.15"/>
    <row r="26" spans="1:4" ht="15.75" customHeight="1" x14ac:dyDescent="0.15"/>
    <row r="27" spans="1:4" ht="15.75" customHeight="1" x14ac:dyDescent="0.15"/>
    <row r="28" spans="1:4" ht="15.75" customHeight="1" x14ac:dyDescent="0.15"/>
    <row r="29" spans="1:4" ht="15.75" customHeight="1" x14ac:dyDescent="0.15"/>
    <row r="30" spans="1:4" ht="15.75" customHeight="1" x14ac:dyDescent="0.15"/>
    <row r="31" spans="1:4" ht="15.75" customHeight="1" x14ac:dyDescent="0.15"/>
    <row r="32" spans="1:4"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4">
    <mergeCell ref="A1:H1"/>
    <mergeCell ref="A11:E11"/>
    <mergeCell ref="A14:H14"/>
    <mergeCell ref="A24:D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workbookViewId="0"/>
  </sheetViews>
  <sheetFormatPr defaultColWidth="12.67578125" defaultRowHeight="15" customHeight="1" x14ac:dyDescent="0.15"/>
  <cols>
    <col min="1" max="1" width="27.77734375" customWidth="1"/>
    <col min="2" max="2" width="21.3046875" customWidth="1"/>
    <col min="3" max="6" width="12.67578125" customWidth="1"/>
  </cols>
  <sheetData>
    <row r="1" spans="1:8" ht="15.75" customHeight="1" x14ac:dyDescent="0.2">
      <c r="A1" s="53" t="s">
        <v>158</v>
      </c>
      <c r="B1" s="54"/>
      <c r="C1" s="54"/>
      <c r="D1" s="54"/>
      <c r="E1" s="54"/>
      <c r="F1" s="54"/>
      <c r="G1" s="54"/>
      <c r="H1" s="54"/>
    </row>
    <row r="2" spans="1:8" ht="15.75" customHeight="1" x14ac:dyDescent="0.15">
      <c r="A2" s="45" t="s">
        <v>159</v>
      </c>
      <c r="B2" s="1" t="s">
        <v>160</v>
      </c>
    </row>
    <row r="3" spans="1:8" ht="15.75" customHeight="1" x14ac:dyDescent="0.15">
      <c r="A3" s="46" t="s">
        <v>161</v>
      </c>
      <c r="B3" s="5">
        <v>10000</v>
      </c>
    </row>
    <row r="4" spans="1:8" ht="15.75" customHeight="1" x14ac:dyDescent="0.15">
      <c r="A4" s="46" t="s">
        <v>162</v>
      </c>
      <c r="B4" s="47">
        <v>0.06</v>
      </c>
    </row>
    <row r="5" spans="1:8" ht="15.75" customHeight="1" x14ac:dyDescent="0.15">
      <c r="A5" s="46" t="s">
        <v>163</v>
      </c>
      <c r="B5" s="5">
        <v>36</v>
      </c>
    </row>
    <row r="6" spans="1:8" ht="15.75" customHeight="1" x14ac:dyDescent="0.15">
      <c r="A6" s="46" t="s">
        <v>164</v>
      </c>
      <c r="C6" s="68" t="s">
        <v>165</v>
      </c>
      <c r="D6" s="54"/>
      <c r="E6" s="54"/>
      <c r="F6" s="54"/>
      <c r="G6" s="54"/>
      <c r="H6" s="48" t="s">
        <v>166</v>
      </c>
    </row>
    <row r="7" spans="1:8" ht="15.75" customHeight="1" x14ac:dyDescent="0.15">
      <c r="A7" s="46" t="s">
        <v>167</v>
      </c>
      <c r="C7" s="68" t="s">
        <v>168</v>
      </c>
      <c r="D7" s="54"/>
      <c r="E7" s="54"/>
      <c r="F7" s="54"/>
      <c r="G7" s="54"/>
    </row>
    <row r="8" spans="1:8" ht="15.75" customHeight="1" x14ac:dyDescent="0.15">
      <c r="A8" s="46" t="s">
        <v>169</v>
      </c>
      <c r="B8" s="49"/>
      <c r="C8" s="73" t="s">
        <v>170</v>
      </c>
      <c r="D8" s="54"/>
      <c r="E8" s="54"/>
      <c r="F8" s="54"/>
      <c r="G8" s="54"/>
      <c r="H8" s="50" t="s">
        <v>171</v>
      </c>
    </row>
    <row r="9" spans="1:8" ht="15.75" customHeight="1" x14ac:dyDescent="0.15">
      <c r="A9" s="51" t="s">
        <v>172</v>
      </c>
      <c r="C9" s="68" t="s">
        <v>173</v>
      </c>
      <c r="D9" s="54"/>
      <c r="E9" s="54"/>
      <c r="F9" s="54"/>
      <c r="G9" s="54"/>
      <c r="H9" s="52" t="s">
        <v>174</v>
      </c>
    </row>
    <row r="10" spans="1:8" ht="15.75" customHeight="1" x14ac:dyDescent="0.15"/>
    <row r="11" spans="1:8" ht="15.75" customHeight="1" x14ac:dyDescent="0.15"/>
    <row r="12" spans="1:8" ht="15.75" customHeight="1" x14ac:dyDescent="0.15"/>
    <row r="13" spans="1:8" ht="15.75" customHeight="1" x14ac:dyDescent="0.15"/>
    <row r="14" spans="1:8" ht="15.75" customHeight="1" x14ac:dyDescent="0.2">
      <c r="A14" s="53" t="s">
        <v>175</v>
      </c>
      <c r="B14" s="54"/>
      <c r="C14" s="54"/>
      <c r="D14" s="54"/>
      <c r="E14" s="54"/>
      <c r="F14" s="54"/>
      <c r="G14" s="54"/>
      <c r="H14" s="54"/>
    </row>
    <row r="15" spans="1:8" ht="15.75" customHeight="1" x14ac:dyDescent="0.15">
      <c r="A15" s="45" t="s">
        <v>159</v>
      </c>
      <c r="B15" s="45" t="s">
        <v>160</v>
      </c>
    </row>
    <row r="16" spans="1:8" ht="15.75" customHeight="1" x14ac:dyDescent="0.15">
      <c r="A16" s="6" t="s">
        <v>176</v>
      </c>
      <c r="B16" s="5">
        <v>500</v>
      </c>
    </row>
    <row r="17" spans="1:7" ht="15.75" customHeight="1" x14ac:dyDescent="0.15">
      <c r="A17" s="6" t="s">
        <v>162</v>
      </c>
      <c r="B17" s="47">
        <v>0.05</v>
      </c>
    </row>
    <row r="18" spans="1:7" ht="15.75" customHeight="1" x14ac:dyDescent="0.15">
      <c r="A18" s="6" t="s">
        <v>177</v>
      </c>
      <c r="B18" s="5">
        <v>5</v>
      </c>
    </row>
    <row r="19" spans="1:7" ht="15.75" customHeight="1" x14ac:dyDescent="0.15">
      <c r="A19" s="6" t="s">
        <v>178</v>
      </c>
      <c r="B19" s="49"/>
      <c r="C19" s="73" t="s">
        <v>179</v>
      </c>
      <c r="D19" s="54"/>
      <c r="E19" s="54"/>
      <c r="F19" s="54"/>
      <c r="G19" s="54"/>
    </row>
    <row r="20" spans="1:7" ht="15.75" customHeight="1" x14ac:dyDescent="0.15">
      <c r="A20" s="6" t="s">
        <v>180</v>
      </c>
      <c r="B20" s="49"/>
      <c r="C20" s="73" t="s">
        <v>181</v>
      </c>
      <c r="D20" s="54"/>
      <c r="E20" s="54"/>
      <c r="F20" s="54"/>
      <c r="G20" s="54"/>
    </row>
    <row r="21" spans="1:7" ht="15.75" customHeight="1" x14ac:dyDescent="0.15"/>
    <row r="22" spans="1:7" ht="15.75" customHeight="1" x14ac:dyDescent="0.15"/>
    <row r="23" spans="1:7" ht="15.75" customHeight="1" x14ac:dyDescent="0.15"/>
    <row r="24" spans="1:7" ht="15.75" customHeight="1" x14ac:dyDescent="0.15"/>
    <row r="25" spans="1:7" ht="15.75" customHeight="1" x14ac:dyDescent="0.15"/>
    <row r="26" spans="1:7" ht="15.75" customHeight="1" x14ac:dyDescent="0.15"/>
    <row r="27" spans="1:7" ht="15.75" customHeight="1" x14ac:dyDescent="0.15"/>
    <row r="28" spans="1:7" ht="15.75" customHeight="1" x14ac:dyDescent="0.15"/>
    <row r="29" spans="1:7" ht="15.75" customHeight="1" x14ac:dyDescent="0.15"/>
    <row r="30" spans="1:7" ht="15.75" customHeight="1" x14ac:dyDescent="0.15"/>
    <row r="31" spans="1:7" ht="15.75" customHeight="1" x14ac:dyDescent="0.15"/>
    <row r="32" spans="1:7"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8">
    <mergeCell ref="A14:H14"/>
    <mergeCell ref="C19:G19"/>
    <mergeCell ref="C20:G20"/>
    <mergeCell ref="A1:H1"/>
    <mergeCell ref="C6:G6"/>
    <mergeCell ref="C7:G7"/>
    <mergeCell ref="C8:G8"/>
    <mergeCell ref="C9: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Листы</vt:lpstr>
      </vt:variant>
      <vt:variant>
        <vt:i4>5</vt:i4>
      </vt:variant>
    </vt:vector>
  </HeadingPairs>
  <TitlesOfParts>
    <vt:vector size="5" baseType="lpstr">
      <vt:lpstr>Частина №1</vt:lpstr>
      <vt:lpstr>Частина №2</vt:lpstr>
      <vt:lpstr>Частина №3</vt:lpstr>
      <vt:lpstr>Частина 4</vt:lpstr>
      <vt:lpstr>Частина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erms:created xsi:type="dcterms:W3CDTF">2025-11-12T21:06:05Z</dcterms:created>
</cp:coreProperties>
</file>